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tables/table6.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hidePivotFieldList="1" defaultThemeVersion="166925"/>
  <mc:AlternateContent xmlns:mc="http://schemas.openxmlformats.org/markup-compatibility/2006">
    <mc:Choice Requires="x15">
      <x15ac:absPath xmlns:x15ac="http://schemas.microsoft.com/office/spreadsheetml/2010/11/ac" url="/Users/ujjwalpoudel/Desktop/DataAnalyticsJourney/02_Excel/"/>
    </mc:Choice>
  </mc:AlternateContent>
  <xr:revisionPtr revIDLastSave="0" documentId="13_ncr:1_{074D2308-31F1-4A41-A9D0-BC3C28E64281}" xr6:coauthVersionLast="47" xr6:coauthVersionMax="47" xr10:uidLastSave="{00000000-0000-0000-0000-000000000000}"/>
  <bookViews>
    <workbookView xWindow="28800" yWindow="0" windowWidth="38400" windowHeight="21600" firstSheet="2" activeTab="10" xr2:uid="{F345E6D1-68A7-DD4A-93A9-6734491FC4EE}"/>
  </bookViews>
  <sheets>
    <sheet name="ProductsTable" sheetId="12" r:id="rId1"/>
    <sheet name="SalesTable_Clean" sheetId="11" r:id="rId2"/>
    <sheet name="Sales_Data" sheetId="1" r:id="rId3"/>
    <sheet name="Products_Data" sheetId="2" r:id="rId4"/>
    <sheet name="Inventory_Data" sheetId="5" r:id="rId5"/>
    <sheet name="Total Transactions" sheetId="3" r:id="rId6"/>
    <sheet name="Category_level_change" sheetId="4" r:id="rId7"/>
    <sheet name="Inventory_PivotTable" sheetId="6" r:id="rId8"/>
    <sheet name="Sales Data Pivot Table" sheetId="7" r:id="rId9"/>
    <sheet name="Revenue Analysis" sheetId="8" r:id="rId10"/>
    <sheet name="Dashboard" sheetId="9" r:id="rId11"/>
  </sheets>
  <definedNames>
    <definedName name="_xlnm._FilterDatabase" localSheetId="6" hidden="1">Category_level_change!$E$4:$F$36</definedName>
    <definedName name="ExternalData_1" localSheetId="1" hidden="1">SalesTable_Clean!$A$1:$K$36</definedName>
    <definedName name="ExternalData_2" localSheetId="0" hidden="1">ProductsTable!$A$1:$E$26</definedName>
    <definedName name="_xlnm.Print_Area" localSheetId="10">Dashboard!$A$1:$J$65</definedName>
    <definedName name="Slicer_category">#N/A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9" l="1"/>
  <c r="C10" i="9"/>
  <c r="B11" i="9"/>
  <c r="B10" i="9"/>
  <c r="D10" i="9" s="1"/>
  <c r="D12" i="9"/>
  <c r="D11" i="9"/>
  <c r="D9" i="9"/>
  <c r="D8" i="9"/>
  <c r="D7" i="9"/>
  <c r="B32" i="8"/>
  <c r="A32" i="8"/>
  <c r="F5" i="8"/>
  <c r="E5" i="8"/>
  <c r="E4" i="8"/>
  <c r="C5" i="8"/>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AD18" i="7"/>
  <c r="N10" i="7"/>
  <c r="N9" i="7"/>
  <c r="N8" i="7"/>
  <c r="N7" i="7"/>
  <c r="N6" i="7"/>
  <c r="N5" i="7"/>
  <c r="M10" i="7"/>
  <c r="M9" i="7"/>
  <c r="M8" i="7"/>
  <c r="M7" i="7"/>
  <c r="M6" i="7"/>
  <c r="M5" i="7"/>
  <c r="E7" i="7"/>
  <c r="F7" i="7" s="1"/>
  <c r="D7" i="7"/>
  <c r="D6" i="7"/>
  <c r="D5" i="7"/>
  <c r="D4" i="7"/>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F31" i="4"/>
  <c r="F36" i="4"/>
  <c r="E31" i="4"/>
  <c r="E32" i="4"/>
  <c r="F32" i="4" s="1"/>
  <c r="E33" i="4"/>
  <c r="F33" i="4" s="1"/>
  <c r="E34" i="4"/>
  <c r="F34" i="4" s="1"/>
  <c r="E35" i="4"/>
  <c r="F35" i="4" s="1"/>
  <c r="E36" i="4"/>
  <c r="E7" i="4"/>
  <c r="F7" i="4" s="1"/>
  <c r="E8" i="4"/>
  <c r="F8" i="4" s="1"/>
  <c r="E9" i="4"/>
  <c r="F9" i="4" s="1"/>
  <c r="E10" i="4"/>
  <c r="F10" i="4" s="1"/>
  <c r="E11" i="4"/>
  <c r="F11" i="4" s="1"/>
  <c r="E12" i="4"/>
  <c r="F12" i="4" s="1"/>
  <c r="E13" i="4"/>
  <c r="F13" i="4" s="1"/>
  <c r="E14" i="4"/>
  <c r="F14" i="4" s="1"/>
  <c r="E15" i="4"/>
  <c r="E16" i="4"/>
  <c r="F16" i="4" s="1"/>
  <c r="E17" i="4"/>
  <c r="F17" i="4" s="1"/>
  <c r="E18" i="4"/>
  <c r="F18" i="4" s="1"/>
  <c r="E19" i="4"/>
  <c r="F19" i="4" s="1"/>
  <c r="E20" i="4"/>
  <c r="F20" i="4" s="1"/>
  <c r="E21" i="4"/>
  <c r="F21" i="4" s="1"/>
  <c r="E22" i="4"/>
  <c r="E23" i="4"/>
  <c r="F23" i="4" s="1"/>
  <c r="E24" i="4"/>
  <c r="E25" i="4"/>
  <c r="F25" i="4" s="1"/>
  <c r="E26" i="4"/>
  <c r="F26" i="4" s="1"/>
  <c r="E27" i="4"/>
  <c r="F27" i="4" s="1"/>
  <c r="E28" i="4"/>
  <c r="F28" i="4" s="1"/>
  <c r="E29" i="4"/>
  <c r="F29" i="4" s="1"/>
  <c r="E30" i="4"/>
  <c r="F30" i="4" s="1"/>
  <c r="F15" i="4"/>
  <c r="F22" i="4"/>
  <c r="F24" i="4"/>
  <c r="E6" i="4"/>
  <c r="F6" i="4" s="1"/>
  <c r="E5" i="4"/>
  <c r="F5" i="4"/>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T14" i="8"/>
  <c r="T6" i="8"/>
  <c r="T5" i="8"/>
  <c r="T11" i="8"/>
  <c r="T10" i="8"/>
  <c r="T16" i="8"/>
  <c r="T7" i="8"/>
  <c r="T13" i="8"/>
  <c r="T17" i="8"/>
  <c r="T12" i="8"/>
  <c r="T9" i="8"/>
  <c r="T15" i="8"/>
  <c r="T8" i="8"/>
  <c r="D5" i="8"/>
  <c r="L5" i="8"/>
  <c r="L10" i="8"/>
  <c r="L6" i="8"/>
  <c r="L9" i="8"/>
  <c r="L7" i="8"/>
  <c r="L8" i="8"/>
  <c r="M8" i="8"/>
  <c r="M7" i="8"/>
  <c r="M9" i="8"/>
  <c r="M6" i="8"/>
  <c r="M10" i="8"/>
  <c r="M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B9327A-BCD7-5340-833C-ADECCFB62E87}" keepAlive="1" name="Query - ProductsTable" description="Connection to the 'ProductsTable' query in the workbook." type="5" refreshedVersion="8" background="1" saveData="1">
    <dbPr connection="Provider=Microsoft.Mashup.OleDb.1;Data Source=$Workbook$;Location=ProductsTable;Extended Properties=&quot;&quot;" command="SELECT * FROM [ProductsTable]"/>
  </connection>
  <connection id="2" xr16:uid="{CAF42B61-B57A-294B-979B-577670E1F397}" keepAlive="1" name="Query - SalesTable_Clean" description="Connection to the 'SalesTable_Clean' query in the workbook." type="5" refreshedVersion="8" background="1" saveData="1">
    <dbPr connection="Provider=Microsoft.Mashup.OleDb.1;Data Source=$Workbook$;Location=SalesTable_Clean;Extended Properties=&quot;&quot;" command="SELECT * FROM [SalesTable_Clean]"/>
  </connection>
</connections>
</file>

<file path=xl/sharedStrings.xml><?xml version="1.0" encoding="utf-8"?>
<sst xmlns="http://schemas.openxmlformats.org/spreadsheetml/2006/main" count="587" uniqueCount="111">
  <si>
    <t>sale_id</t>
  </si>
  <si>
    <t>product_id</t>
  </si>
  <si>
    <t>sale_date</t>
  </si>
  <si>
    <t>quantity</t>
  </si>
  <si>
    <t>product_name</t>
  </si>
  <si>
    <t>category</t>
  </si>
  <si>
    <t>supplier_id</t>
  </si>
  <si>
    <t>unit_price</t>
  </si>
  <si>
    <t>Wireless Mouse</t>
  </si>
  <si>
    <t>Accessories</t>
  </si>
  <si>
    <t>USB-C Cable</t>
  </si>
  <si>
    <t>Laptop Stand</t>
  </si>
  <si>
    <t>Webcam Cover</t>
  </si>
  <si>
    <t>Mouse Pad</t>
  </si>
  <si>
    <t>Business Laptop</t>
  </si>
  <si>
    <t>Computer</t>
  </si>
  <si>
    <t>Gaming Laptop</t>
  </si>
  <si>
    <t>Desktop Computer</t>
  </si>
  <si>
    <t>Mini PC</t>
  </si>
  <si>
    <t>Workstation</t>
  </si>
  <si>
    <t>Bluetooth Speaker</t>
  </si>
  <si>
    <t>Audio</t>
  </si>
  <si>
    <t>Wireless Headphones</t>
  </si>
  <si>
    <t>Soundbar</t>
  </si>
  <si>
    <t>USB Microphone</t>
  </si>
  <si>
    <t>Wireless Earbuds</t>
  </si>
  <si>
    <t>Office Chair</t>
  </si>
  <si>
    <t>Office</t>
  </si>
  <si>
    <t>Desk Lamp</t>
  </si>
  <si>
    <t>Standing Desk</t>
  </si>
  <si>
    <t>Monitor Arm</t>
  </si>
  <si>
    <t>Keyboard Tray</t>
  </si>
  <si>
    <t>Wi-Fi Router</t>
  </si>
  <si>
    <t>Networking</t>
  </si>
  <si>
    <t>Network Switch</t>
  </si>
  <si>
    <t>Wi-Fi Extender</t>
  </si>
  <si>
    <t>Ethernet Adapter</t>
  </si>
  <si>
    <t>Mesh Wi-Fi System</t>
  </si>
  <si>
    <t>Row Labels</t>
  </si>
  <si>
    <t>Grand Total</t>
  </si>
  <si>
    <t>Sum of quantity</t>
  </si>
  <si>
    <t>% of Total</t>
  </si>
  <si>
    <t>Column Labels</t>
  </si>
  <si>
    <t>Jul</t>
  </si>
  <si>
    <t>Aug</t>
  </si>
  <si>
    <t>Change</t>
  </si>
  <si>
    <t>% change</t>
  </si>
  <si>
    <t>inventory_id</t>
  </si>
  <si>
    <t>warehouse</t>
  </si>
  <si>
    <t>stock_quantity</t>
  </si>
  <si>
    <t>New York</t>
  </si>
  <si>
    <t>Dallas</t>
  </si>
  <si>
    <t>Chicago</t>
  </si>
  <si>
    <t>Sum of stock_quantity</t>
  </si>
  <si>
    <t>May</t>
  </si>
  <si>
    <t>Jun</t>
  </si>
  <si>
    <t>Count of sale_id</t>
  </si>
  <si>
    <t>Units/Transaction</t>
  </si>
  <si>
    <t>Transaction Change</t>
  </si>
  <si>
    <t>Transaction % Change</t>
  </si>
  <si>
    <t>Transaction Change and Transaction % Change between July and August</t>
  </si>
  <si>
    <t>Category-level Transaction Change and Transaction % Change</t>
  </si>
  <si>
    <t>Customer-level Transaction Change</t>
  </si>
  <si>
    <t>Units Sold by Product for July vs. August</t>
  </si>
  <si>
    <t>revenue</t>
  </si>
  <si>
    <t>Sum of revenue</t>
  </si>
  <si>
    <t xml:space="preserve">August - July </t>
  </si>
  <si>
    <t>Revenue % Change</t>
  </si>
  <si>
    <t>Revenue Per Transaction</t>
  </si>
  <si>
    <t>Revenue Analysis between July and August</t>
  </si>
  <si>
    <t>Revenue Change</t>
  </si>
  <si>
    <t>Category-level Revenue Analysis</t>
  </si>
  <si>
    <t>Product-level Revenue Analysis</t>
  </si>
  <si>
    <t>Average of unit_price</t>
  </si>
  <si>
    <t>Rev/ Tran % increase</t>
  </si>
  <si>
    <t>Average revenue per unit by month</t>
  </si>
  <si>
    <t>July</t>
  </si>
  <si>
    <t>August</t>
  </si>
  <si>
    <t>Total Revenue/Total Units Sold</t>
  </si>
  <si>
    <t>Calculated Revenue</t>
  </si>
  <si>
    <t>Revenue Check</t>
  </si>
  <si>
    <t>Revenue Status</t>
  </si>
  <si>
    <t>Computers</t>
  </si>
  <si>
    <t>Match</t>
  </si>
  <si>
    <t>Valid</t>
  </si>
  <si>
    <t>Product</t>
  </si>
  <si>
    <t>Ujjsha Retail — Sales Performance Dashboard</t>
  </si>
  <si>
    <t>July vs. August Performance Analysis</t>
  </si>
  <si>
    <t>Portfolio Project #1 | Excel Analysis</t>
  </si>
  <si>
    <t>Total Revenue</t>
  </si>
  <si>
    <t>Transactions</t>
  </si>
  <si>
    <t>Units Sold</t>
  </si>
  <si>
    <t>MoM Revenue Change</t>
  </si>
  <si>
    <t>KPI</t>
  </si>
  <si>
    <t>Revenue / Transaction</t>
  </si>
  <si>
    <t>Revenue / Unit</t>
  </si>
  <si>
    <t>—</t>
  </si>
  <si>
    <t>Business Findings</t>
  </si>
  <si>
    <t>Finding 1 — Overall performance</t>
  </si>
  <si>
    <t>Revenue declined 25.66% from July to August, while transactions declined 40.98% and units sold declined 38.73%.</t>
  </si>
  <si>
    <t>Finding 2 — Category driver</t>
  </si>
  <si>
    <t>Computer and Networking revenue declined by $13,282.99 combined, accounting for approximately 90.44% of the net revenue decline.</t>
  </si>
  <si>
    <t>Finding 3 — Product driver</t>
  </si>
  <si>
    <t>Mesh Wi-Fi System had the largest product-level revenue decline, decreasing by $8,496.18 as units sold fell from 25 to 7.</t>
  </si>
  <si>
    <t>Finding 4 — Positive offset</t>
  </si>
  <si>
    <t>Office was the only category to increase revenue, growing by $2,304.47 from July to August.</t>
  </si>
  <si>
    <t>Recommended Investigation</t>
  </si>
  <si>
    <t>Investigate the decline in Mesh Wi-Fi System and Computer/Networking performance, including inventory availability, pricing, promotions, product mix, and customer purchasing behavior. Additional data is required to determine the underlying causes.</t>
  </si>
  <si>
    <t>Data Limitations</t>
  </si>
  <si>
    <t>The analysis does not include customer IDs, historical inventory snapshots, promotion or campaign data, traffic data, competitor pricing, or product cost/margin information. Therefore, the analysis identifies patterns and investigation priorities but does not establish causation or profitability impact.</t>
  </si>
  <si>
    <t>Ujjsha Retail Dataset | July–August Analysis | Excel Portfolio Project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</si>
</sst>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00000"/>
  </numFmts>
  <fonts count="5" x14ac:knownFonts="1">
    <font>
      <sz val="12"/>
      <color theme="1"/>
      <name val="Calibri"/>
      <family val="2"/>
      <scheme val="minor"/>
    </font>
    <font>
      <b/>
      <sz val="12"/>
      <color theme="1"/>
      <name val="Calibri"/>
      <family val="2"/>
      <scheme val="minor"/>
    </font>
    <font>
      <b/>
      <sz val="16"/>
      <color theme="1"/>
      <name val="Calibri"/>
      <family val="2"/>
      <scheme val="minor"/>
    </font>
    <font>
      <b/>
      <sz val="20"/>
      <color theme="1"/>
      <name val="Calibri"/>
      <family val="2"/>
      <scheme val="minor"/>
    </font>
    <font>
      <i/>
      <sz val="12"/>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4" tint="0.39997558519241921"/>
        <bgColor indexed="64"/>
      </patternFill>
    </fill>
    <fill>
      <patternFill patternType="solid">
        <fgColor theme="4" tint="0.59999389629810485"/>
        <bgColor indexed="64"/>
      </patternFill>
    </fill>
  </fills>
  <borders count="11">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5">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2" borderId="0" xfId="0" applyFont="1" applyFill="1"/>
    <xf numFmtId="0" fontId="0" fillId="0" borderId="0" xfId="0" applyAlignment="1">
      <alignment horizontal="left" indent="1"/>
    </xf>
    <xf numFmtId="0" fontId="1" fillId="2" borderId="1" xfId="0" applyFont="1" applyFill="1" applyBorder="1"/>
    <xf numFmtId="0" fontId="1" fillId="2" borderId="2" xfId="0" applyFont="1" applyFill="1" applyBorder="1"/>
    <xf numFmtId="164" fontId="0" fillId="0" borderId="0" xfId="0" applyNumberFormat="1"/>
    <xf numFmtId="0" fontId="1" fillId="0" borderId="1" xfId="0" applyFont="1" applyBorder="1"/>
    <xf numFmtId="0" fontId="1" fillId="0" borderId="0" xfId="0" applyFont="1"/>
    <xf numFmtId="8" fontId="0" fillId="0" borderId="0" xfId="0" applyNumberFormat="1"/>
    <xf numFmtId="0" fontId="1" fillId="5" borderId="3" xfId="0" applyFont="1" applyFill="1" applyBorder="1"/>
    <xf numFmtId="0" fontId="1" fillId="5" borderId="4" xfId="0" applyFont="1" applyFill="1" applyBorder="1" applyAlignment="1">
      <alignment horizontal="center"/>
    </xf>
    <xf numFmtId="0" fontId="1" fillId="5" borderId="5" xfId="0" applyFont="1" applyFill="1" applyBorder="1" applyAlignment="1">
      <alignment horizontal="center"/>
    </xf>
    <xf numFmtId="10" fontId="0" fillId="0" borderId="7" xfId="0" applyNumberFormat="1" applyBorder="1"/>
    <xf numFmtId="0" fontId="0" fillId="0" borderId="9" xfId="0" applyBorder="1"/>
    <xf numFmtId="10" fontId="0" fillId="0" borderId="10" xfId="0" applyNumberFormat="1" applyBorder="1"/>
    <xf numFmtId="1" fontId="0" fillId="0" borderId="0" xfId="0" applyNumberFormat="1"/>
    <xf numFmtId="0" fontId="1" fillId="0" borderId="6" xfId="0" applyFont="1" applyBorder="1"/>
    <xf numFmtId="0" fontId="1" fillId="0" borderId="8" xfId="0" applyFont="1" applyBorder="1"/>
    <xf numFmtId="0" fontId="0" fillId="0" borderId="0" xfId="0" applyAlignment="1">
      <alignment wrapText="1"/>
    </xf>
    <xf numFmtId="0" fontId="0" fillId="0" borderId="0" xfId="0"/>
    <xf numFmtId="0" fontId="3" fillId="5" borderId="0" xfId="0" applyFont="1" applyFill="1" applyAlignment="1">
      <alignment horizontal="center"/>
    </xf>
    <xf numFmtId="0" fontId="2" fillId="5" borderId="0" xfId="0" applyFont="1" applyFill="1" applyAlignment="1">
      <alignment horizontal="center"/>
    </xf>
    <xf numFmtId="0" fontId="0" fillId="3" borderId="0" xfId="0" applyFill="1" applyAlignment="1">
      <alignment horizontal="center" vertical="center"/>
    </xf>
    <xf numFmtId="0" fontId="0" fillId="3" borderId="0" xfId="0" applyFill="1" applyAlignment="1">
      <alignment horizontal="center"/>
    </xf>
    <xf numFmtId="0" fontId="1" fillId="3" borderId="0" xfId="0" applyFont="1" applyFill="1" applyAlignment="1">
      <alignment horizontal="center"/>
    </xf>
    <xf numFmtId="0" fontId="0" fillId="4" borderId="0" xfId="0" applyFill="1" applyAlignment="1">
      <alignment horizontal="center"/>
    </xf>
    <xf numFmtId="0" fontId="0" fillId="0" borderId="0" xfId="0" applyNumberFormat="1"/>
    <xf numFmtId="0" fontId="0" fillId="0" borderId="0" xfId="0" applyAlignment="1">
      <alignment horizontal="left" vertical="top" wrapText="1"/>
    </xf>
    <xf numFmtId="0" fontId="0" fillId="0" borderId="0" xfId="0" applyAlignment="1">
      <alignment vertical="top" wrapText="1"/>
    </xf>
    <xf numFmtId="0" fontId="1" fillId="5" borderId="0" xfId="0" applyFont="1" applyFill="1"/>
    <xf numFmtId="0" fontId="4" fillId="5" borderId="0" xfId="0" applyFont="1" applyFill="1" applyAlignment="1">
      <alignment horizontal="center"/>
    </xf>
  </cellXfs>
  <cellStyles count="1">
    <cellStyle name="Normal" xfId="0" builtinId="0"/>
  </cellStyles>
  <dxfs count="1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strike val="0"/>
        <condense val="0"/>
        <extend val="0"/>
        <outline val="0"/>
        <shadow val="0"/>
        <u val="none"/>
        <vertAlign val="baseline"/>
        <sz val="12"/>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19" formatCode="m/d/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[Ujjsha_Retail_Project1.xlsx]Revenue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 - July vs. August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Analysis'!$I$3:$I$4</c:f>
              <c:strCache>
                <c:ptCount val="1"/>
                <c:pt idx="0">
                  <c:v>Jul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Analysis'!$H$5:$H$10</c:f>
              <c:strCache>
                <c:ptCount val="5"/>
                <c:pt idx="0">
                  <c:v>Accessories</c:v>
                </c:pt>
                <c:pt idx="1">
                  <c:v>Audio</c:v>
                </c:pt>
                <c:pt idx="2">
                  <c:v>Computer</c:v>
                </c:pt>
                <c:pt idx="3">
                  <c:v>Networking</c:v>
                </c:pt>
                <c:pt idx="4">
                  <c:v>Office</c:v>
                </c:pt>
              </c:strCache>
            </c:strRef>
          </c:cat>
          <c:val>
            <c:numRef>
              <c:f>'Revenue Analysis'!$I$5:$I$10</c:f>
              <c:numCache>
                <c:formatCode>General</c:formatCode>
                <c:ptCount val="5"/>
                <c:pt idx="0">
                  <c:v>3257.14</c:v>
                </c:pt>
                <c:pt idx="1">
                  <c:v>8096.37</c:v>
                </c:pt>
                <c:pt idx="2">
                  <c:v>19694.500000000004</c:v>
                </c:pt>
                <c:pt idx="3">
                  <c:v>20800.13</c:v>
                </c:pt>
                <c:pt idx="4">
                  <c:v>5389.67</c:v>
                </c:pt>
              </c:numCache>
            </c:numRef>
          </c:val>
          <c:extLst>
            <c:ext xmlns:c16="http://schemas.microsoft.com/office/drawing/2014/chart" uri="{C3380CC4-5D6E-409C-BE32-E72D297353CC}">
              <c16:uniqueId val="{00000000-DB27-7840-844B-97D528734927}"/>
            </c:ext>
          </c:extLst>
        </c:ser>
        <c:ser>
          <c:idx val="1"/>
          <c:order val="1"/>
          <c:tx>
            <c:strRef>
              <c:f>'Revenue Analysis'!$J$3:$J$4</c:f>
              <c:strCache>
                <c:ptCount val="1"/>
                <c:pt idx="0">
                  <c:v>Aug</c:v>
                </c:pt>
              </c:strCache>
            </c:strRef>
          </c:tx>
          <c:spPr>
            <a:solidFill>
              <a:schemeClr val="accent2"/>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Analysis'!$H$5:$H$10</c:f>
              <c:strCache>
                <c:ptCount val="5"/>
                <c:pt idx="0">
                  <c:v>Accessories</c:v>
                </c:pt>
                <c:pt idx="1">
                  <c:v>Audio</c:v>
                </c:pt>
                <c:pt idx="2">
                  <c:v>Computer</c:v>
                </c:pt>
                <c:pt idx="3">
                  <c:v>Networking</c:v>
                </c:pt>
                <c:pt idx="4">
                  <c:v>Office</c:v>
                </c:pt>
              </c:strCache>
            </c:strRef>
          </c:cat>
          <c:val>
            <c:numRef>
              <c:f>'Revenue Analysis'!$J$5:$J$10</c:f>
              <c:numCache>
                <c:formatCode>General</c:formatCode>
                <c:ptCount val="5"/>
                <c:pt idx="0">
                  <c:v>701.98</c:v>
                </c:pt>
                <c:pt idx="1">
                  <c:v>6943.71</c:v>
                </c:pt>
                <c:pt idx="2">
                  <c:v>12907.989999999998</c:v>
                </c:pt>
                <c:pt idx="3">
                  <c:v>14303.65</c:v>
                </c:pt>
                <c:pt idx="4">
                  <c:v>7694.1399999999994</c:v>
                </c:pt>
              </c:numCache>
            </c:numRef>
          </c:val>
          <c:extLst>
            <c:ext xmlns:c16="http://schemas.microsoft.com/office/drawing/2014/chart" uri="{C3380CC4-5D6E-409C-BE32-E72D297353CC}">
              <c16:uniqueId val="{0000000A-B683-CE43-B72D-8B9C39194CA9}"/>
            </c:ext>
          </c:extLst>
        </c:ser>
        <c:dLbls>
          <c:dLblPos val="outEnd"/>
          <c:showLegendKey val="0"/>
          <c:showVal val="1"/>
          <c:showCatName val="0"/>
          <c:showSerName val="0"/>
          <c:showPercent val="0"/>
          <c:showBubbleSize val="0"/>
        </c:dLbls>
        <c:gapWidth val="219"/>
        <c:axId val="377287360"/>
        <c:axId val="377282432"/>
      </c:barChart>
      <c:catAx>
        <c:axId val="37728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82432"/>
        <c:crosses val="autoZero"/>
        <c:auto val="1"/>
        <c:lblAlgn val="ctr"/>
        <c:lblOffset val="100"/>
        <c:noMultiLvlLbl val="0"/>
      </c:catAx>
      <c:valAx>
        <c:axId val="377282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8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a:t>
            </a:r>
            <a:r>
              <a:rPr lang="en-US"/>
              <a:t>Level</a:t>
            </a:r>
            <a:r>
              <a:rPr lang="en-US" baseline="0"/>
              <a:t> Revenue - July vs. August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'Revenue Analysis'!$AD$2</c:f>
              <c:strCache>
                <c:ptCount val="1"/>
                <c:pt idx="0">
                  <c:v>July</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Analysis'!$AC$3:$AC$12</c:f>
              <c:strCache>
                <c:ptCount val="10"/>
                <c:pt idx="0">
                  <c:v>Workstation</c:v>
                </c:pt>
                <c:pt idx="1">
                  <c:v>Wi-Fi Extender</c:v>
                </c:pt>
                <c:pt idx="2">
                  <c:v>Mini PC</c:v>
                </c:pt>
                <c:pt idx="3">
                  <c:v>Mesh Wi-Fi System</c:v>
                </c:pt>
                <c:pt idx="4">
                  <c:v>Ethernet Adapter</c:v>
                </c:pt>
                <c:pt idx="5">
                  <c:v>Network Switch</c:v>
                </c:pt>
                <c:pt idx="6">
                  <c:v>Gaming Laptop</c:v>
                </c:pt>
                <c:pt idx="7">
                  <c:v>Wi-Fi Router</c:v>
                </c:pt>
                <c:pt idx="8">
                  <c:v>Business Laptop</c:v>
                </c:pt>
                <c:pt idx="9">
                  <c:v>Desktop Computer</c:v>
                </c:pt>
              </c:strCache>
            </c:strRef>
          </c:cat>
          <c:val>
            <c:numRef>
              <c:f>'Revenue Analysis'!$AD$3:$AD$12</c:f>
              <c:numCache>
                <c:formatCode>General</c:formatCode>
                <c:ptCount val="10"/>
                <c:pt idx="0">
                  <c:v>5031.67</c:v>
                </c:pt>
                <c:pt idx="1">
                  <c:v>1039.0999999999999</c:v>
                </c:pt>
                <c:pt idx="2">
                  <c:v>3379.44</c:v>
                </c:pt>
                <c:pt idx="3">
                  <c:v>11800.25</c:v>
                </c:pt>
                <c:pt idx="4">
                  <c:v>2434.6999999999998</c:v>
                </c:pt>
                <c:pt idx="5">
                  <c:v>3761.12</c:v>
                </c:pt>
                <c:pt idx="6">
                  <c:v>3321.6</c:v>
                </c:pt>
                <c:pt idx="7">
                  <c:v>1764.96</c:v>
                </c:pt>
                <c:pt idx="8">
                  <c:v>1024.5899999999999</c:v>
                </c:pt>
                <c:pt idx="9">
                  <c:v>6937.2</c:v>
                </c:pt>
              </c:numCache>
            </c:numRef>
          </c:val>
          <c:extLst>
            <c:ext xmlns:c16="http://schemas.microsoft.com/office/drawing/2014/chart" uri="{C3380CC4-5D6E-409C-BE32-E72D297353CC}">
              <c16:uniqueId val="{00000000-819B-7F4D-B279-FA8724C8BB50}"/>
            </c:ext>
          </c:extLst>
        </c:ser>
        <c:ser>
          <c:idx val="1"/>
          <c:order val="1"/>
          <c:tx>
            <c:strRef>
              <c:f>'Revenue Analysis'!$AE$2</c:f>
              <c:strCache>
                <c:ptCount val="1"/>
                <c:pt idx="0">
                  <c:v>August</c:v>
                </c:pt>
              </c:strCache>
            </c:strRef>
          </c:tx>
          <c:spPr>
            <a:solidFill>
              <a:schemeClr val="accent2"/>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Analysis'!$AC$3:$AC$12</c:f>
              <c:strCache>
                <c:ptCount val="10"/>
                <c:pt idx="0">
                  <c:v>Workstation</c:v>
                </c:pt>
                <c:pt idx="1">
                  <c:v>Wi-Fi Extender</c:v>
                </c:pt>
                <c:pt idx="2">
                  <c:v>Mini PC</c:v>
                </c:pt>
                <c:pt idx="3">
                  <c:v>Mesh Wi-Fi System</c:v>
                </c:pt>
                <c:pt idx="4">
                  <c:v>Ethernet Adapter</c:v>
                </c:pt>
                <c:pt idx="5">
                  <c:v>Network Switch</c:v>
                </c:pt>
                <c:pt idx="6">
                  <c:v>Gaming Laptop</c:v>
                </c:pt>
                <c:pt idx="7">
                  <c:v>Wi-Fi Router</c:v>
                </c:pt>
                <c:pt idx="8">
                  <c:v>Business Laptop</c:v>
                </c:pt>
                <c:pt idx="9">
                  <c:v>Desktop Computer</c:v>
                </c:pt>
              </c:strCache>
            </c:strRef>
          </c:cat>
          <c:val>
            <c:numRef>
              <c:f>'Revenue Analysis'!$AE$3:$AE$12</c:f>
              <c:numCache>
                <c:formatCode>General</c:formatCode>
                <c:ptCount val="10"/>
                <c:pt idx="0">
                  <c:v>6469.29</c:v>
                </c:pt>
                <c:pt idx="1">
                  <c:v>5195.5</c:v>
                </c:pt>
                <c:pt idx="2">
                  <c:v>4224.3</c:v>
                </c:pt>
                <c:pt idx="3">
                  <c:v>3304.07</c:v>
                </c:pt>
                <c:pt idx="4">
                  <c:v>2921.64</c:v>
                </c:pt>
                <c:pt idx="5">
                  <c:v>2735.36</c:v>
                </c:pt>
                <c:pt idx="6">
                  <c:v>2214.4</c:v>
                </c:pt>
                <c:pt idx="7">
                  <c:v>147.08000000000001</c:v>
                </c:pt>
                <c:pt idx="8">
                  <c:v>0</c:v>
                </c:pt>
                <c:pt idx="9">
                  <c:v>0</c:v>
                </c:pt>
              </c:numCache>
            </c:numRef>
          </c:val>
          <c:extLst>
            <c:ext xmlns:c16="http://schemas.microsoft.com/office/drawing/2014/chart" uri="{C3380CC4-5D6E-409C-BE32-E72D297353CC}">
              <c16:uniqueId val="{00000001-819B-7F4D-B279-FA8724C8BB50}"/>
            </c:ext>
          </c:extLst>
        </c:ser>
        <c:dLbls>
          <c:dLblPos val="outEnd"/>
          <c:showLegendKey val="0"/>
          <c:showVal val="1"/>
          <c:showCatName val="0"/>
          <c:showSerName val="0"/>
          <c:showPercent val="0"/>
          <c:showBubbleSize val="0"/>
        </c:dLbls>
        <c:gapWidth val="182"/>
        <c:axId val="447188032"/>
        <c:axId val="447188480"/>
      </c:barChart>
      <c:catAx>
        <c:axId val="44718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88480"/>
        <c:crosses val="autoZero"/>
        <c:auto val="1"/>
        <c:lblAlgn val="ctr"/>
        <c:lblOffset val="100"/>
        <c:noMultiLvlLbl val="0"/>
      </c:catAx>
      <c:valAx>
        <c:axId val="44718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88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[Ujjsha_Retail_Project1.xlsx]Revenue 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 - July vs. August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Analysis'!$I$3:$I$4</c:f>
              <c:strCache>
                <c:ptCount val="1"/>
                <c:pt idx="0">
                  <c:v>Jul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Analysis'!$H$5:$H$10</c:f>
              <c:strCache>
                <c:ptCount val="5"/>
                <c:pt idx="0">
                  <c:v>Accessories</c:v>
                </c:pt>
                <c:pt idx="1">
                  <c:v>Audio</c:v>
                </c:pt>
                <c:pt idx="2">
                  <c:v>Computer</c:v>
                </c:pt>
                <c:pt idx="3">
                  <c:v>Networking</c:v>
                </c:pt>
                <c:pt idx="4">
                  <c:v>Office</c:v>
                </c:pt>
              </c:strCache>
            </c:strRef>
          </c:cat>
          <c:val>
            <c:numRef>
              <c:f>'Revenue Analysis'!$I$5:$I$10</c:f>
              <c:numCache>
                <c:formatCode>General</c:formatCode>
                <c:ptCount val="5"/>
                <c:pt idx="0">
                  <c:v>3257.14</c:v>
                </c:pt>
                <c:pt idx="1">
                  <c:v>8096.37</c:v>
                </c:pt>
                <c:pt idx="2">
                  <c:v>19694.500000000004</c:v>
                </c:pt>
                <c:pt idx="3">
                  <c:v>20800.13</c:v>
                </c:pt>
                <c:pt idx="4">
                  <c:v>5389.67</c:v>
                </c:pt>
              </c:numCache>
            </c:numRef>
          </c:val>
          <c:extLst>
            <c:ext xmlns:c16="http://schemas.microsoft.com/office/drawing/2014/chart" uri="{C3380CC4-5D6E-409C-BE32-E72D297353CC}">
              <c16:uniqueId val="{00000000-C93A-3346-9B68-B5C9B405AEEF}"/>
            </c:ext>
          </c:extLst>
        </c:ser>
        <c:ser>
          <c:idx val="1"/>
          <c:order val="1"/>
          <c:tx>
            <c:strRef>
              <c:f>'Revenue Analysis'!$J$3:$J$4</c:f>
              <c:strCache>
                <c:ptCount val="1"/>
                <c:pt idx="0">
                  <c:v>Aug</c:v>
                </c:pt>
              </c:strCache>
            </c:strRef>
          </c:tx>
          <c:spPr>
            <a:solidFill>
              <a:schemeClr val="accent2"/>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Analysis'!$H$5:$H$10</c:f>
              <c:strCache>
                <c:ptCount val="5"/>
                <c:pt idx="0">
                  <c:v>Accessories</c:v>
                </c:pt>
                <c:pt idx="1">
                  <c:v>Audio</c:v>
                </c:pt>
                <c:pt idx="2">
                  <c:v>Computer</c:v>
                </c:pt>
                <c:pt idx="3">
                  <c:v>Networking</c:v>
                </c:pt>
                <c:pt idx="4">
                  <c:v>Office</c:v>
                </c:pt>
              </c:strCache>
            </c:strRef>
          </c:cat>
          <c:val>
            <c:numRef>
              <c:f>'Revenue Analysis'!$J$5:$J$10</c:f>
              <c:numCache>
                <c:formatCode>General</c:formatCode>
                <c:ptCount val="5"/>
                <c:pt idx="0">
                  <c:v>701.98</c:v>
                </c:pt>
                <c:pt idx="1">
                  <c:v>6943.71</c:v>
                </c:pt>
                <c:pt idx="2">
                  <c:v>12907.989999999998</c:v>
                </c:pt>
                <c:pt idx="3">
                  <c:v>14303.65</c:v>
                </c:pt>
                <c:pt idx="4">
                  <c:v>7694.1399999999994</c:v>
                </c:pt>
              </c:numCache>
            </c:numRef>
          </c:val>
          <c:extLst>
            <c:ext xmlns:c16="http://schemas.microsoft.com/office/drawing/2014/chart" uri="{C3380CC4-5D6E-409C-BE32-E72D297353CC}">
              <c16:uniqueId val="{00000009-56FB-8A49-B3A8-799E67C91668}"/>
            </c:ext>
          </c:extLst>
        </c:ser>
        <c:dLbls>
          <c:dLblPos val="outEnd"/>
          <c:showLegendKey val="0"/>
          <c:showVal val="1"/>
          <c:showCatName val="0"/>
          <c:showSerName val="0"/>
          <c:showPercent val="0"/>
          <c:showBubbleSize val="0"/>
        </c:dLbls>
        <c:gapWidth val="219"/>
        <c:axId val="377287360"/>
        <c:axId val="377282432"/>
      </c:barChart>
      <c:catAx>
        <c:axId val="37728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82432"/>
        <c:crosses val="autoZero"/>
        <c:auto val="1"/>
        <c:lblAlgn val="ctr"/>
        <c:lblOffset val="100"/>
        <c:noMultiLvlLbl val="0"/>
      </c:catAx>
      <c:valAx>
        <c:axId val="377282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8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a:t>
            </a:r>
            <a:r>
              <a:rPr lang="en-US"/>
              <a:t>Level</a:t>
            </a:r>
            <a:r>
              <a:rPr lang="en-US" baseline="0"/>
              <a:t> Revenue - July vs. August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'Revenue Analysis'!$AD$2</c:f>
              <c:strCache>
                <c:ptCount val="1"/>
                <c:pt idx="0">
                  <c:v>July</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Analysis'!$AC$3:$AC$12</c:f>
              <c:strCache>
                <c:ptCount val="10"/>
                <c:pt idx="0">
                  <c:v>Workstation</c:v>
                </c:pt>
                <c:pt idx="1">
                  <c:v>Wi-Fi Extender</c:v>
                </c:pt>
                <c:pt idx="2">
                  <c:v>Mini PC</c:v>
                </c:pt>
                <c:pt idx="3">
                  <c:v>Mesh Wi-Fi System</c:v>
                </c:pt>
                <c:pt idx="4">
                  <c:v>Ethernet Adapter</c:v>
                </c:pt>
                <c:pt idx="5">
                  <c:v>Network Switch</c:v>
                </c:pt>
                <c:pt idx="6">
                  <c:v>Gaming Laptop</c:v>
                </c:pt>
                <c:pt idx="7">
                  <c:v>Wi-Fi Router</c:v>
                </c:pt>
                <c:pt idx="8">
                  <c:v>Business Laptop</c:v>
                </c:pt>
                <c:pt idx="9">
                  <c:v>Desktop Computer</c:v>
                </c:pt>
              </c:strCache>
            </c:strRef>
          </c:cat>
          <c:val>
            <c:numRef>
              <c:f>'Revenue Analysis'!$AD$3:$AD$12</c:f>
              <c:numCache>
                <c:formatCode>General</c:formatCode>
                <c:ptCount val="10"/>
                <c:pt idx="0">
                  <c:v>5031.67</c:v>
                </c:pt>
                <c:pt idx="1">
                  <c:v>1039.0999999999999</c:v>
                </c:pt>
                <c:pt idx="2">
                  <c:v>3379.44</c:v>
                </c:pt>
                <c:pt idx="3">
                  <c:v>11800.25</c:v>
                </c:pt>
                <c:pt idx="4">
                  <c:v>2434.6999999999998</c:v>
                </c:pt>
                <c:pt idx="5">
                  <c:v>3761.12</c:v>
                </c:pt>
                <c:pt idx="6">
                  <c:v>3321.6</c:v>
                </c:pt>
                <c:pt idx="7">
                  <c:v>1764.96</c:v>
                </c:pt>
                <c:pt idx="8">
                  <c:v>1024.5899999999999</c:v>
                </c:pt>
                <c:pt idx="9">
                  <c:v>6937.2</c:v>
                </c:pt>
              </c:numCache>
            </c:numRef>
          </c:val>
          <c:extLst>
            <c:ext xmlns:c16="http://schemas.microsoft.com/office/drawing/2014/chart" uri="{C3380CC4-5D6E-409C-BE32-E72D297353CC}">
              <c16:uniqueId val="{00000000-166D-8643-A993-B8893F4ADE06}"/>
            </c:ext>
          </c:extLst>
        </c:ser>
        <c:ser>
          <c:idx val="1"/>
          <c:order val="1"/>
          <c:tx>
            <c:strRef>
              <c:f>'Revenue Analysis'!$AE$2</c:f>
              <c:strCache>
                <c:ptCount val="1"/>
                <c:pt idx="0">
                  <c:v>August</c:v>
                </c:pt>
              </c:strCache>
            </c:strRef>
          </c:tx>
          <c:spPr>
            <a:solidFill>
              <a:schemeClr val="accent2"/>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Analysis'!$AC$3:$AC$12</c:f>
              <c:strCache>
                <c:ptCount val="10"/>
                <c:pt idx="0">
                  <c:v>Workstation</c:v>
                </c:pt>
                <c:pt idx="1">
                  <c:v>Wi-Fi Extender</c:v>
                </c:pt>
                <c:pt idx="2">
                  <c:v>Mini PC</c:v>
                </c:pt>
                <c:pt idx="3">
                  <c:v>Mesh Wi-Fi System</c:v>
                </c:pt>
                <c:pt idx="4">
                  <c:v>Ethernet Adapter</c:v>
                </c:pt>
                <c:pt idx="5">
                  <c:v>Network Switch</c:v>
                </c:pt>
                <c:pt idx="6">
                  <c:v>Gaming Laptop</c:v>
                </c:pt>
                <c:pt idx="7">
                  <c:v>Wi-Fi Router</c:v>
                </c:pt>
                <c:pt idx="8">
                  <c:v>Business Laptop</c:v>
                </c:pt>
                <c:pt idx="9">
                  <c:v>Desktop Computer</c:v>
                </c:pt>
              </c:strCache>
            </c:strRef>
          </c:cat>
          <c:val>
            <c:numRef>
              <c:f>'Revenue Analysis'!$AE$3:$AE$12</c:f>
              <c:numCache>
                <c:formatCode>General</c:formatCode>
                <c:ptCount val="10"/>
                <c:pt idx="0">
                  <c:v>6469.29</c:v>
                </c:pt>
                <c:pt idx="1">
                  <c:v>5195.5</c:v>
                </c:pt>
                <c:pt idx="2">
                  <c:v>4224.3</c:v>
                </c:pt>
                <c:pt idx="3">
                  <c:v>3304.07</c:v>
                </c:pt>
                <c:pt idx="4">
                  <c:v>2921.64</c:v>
                </c:pt>
                <c:pt idx="5">
                  <c:v>2735.36</c:v>
                </c:pt>
                <c:pt idx="6">
                  <c:v>2214.4</c:v>
                </c:pt>
                <c:pt idx="7">
                  <c:v>147.08000000000001</c:v>
                </c:pt>
                <c:pt idx="8">
                  <c:v>0</c:v>
                </c:pt>
                <c:pt idx="9">
                  <c:v>0</c:v>
                </c:pt>
              </c:numCache>
            </c:numRef>
          </c:val>
          <c:extLst>
            <c:ext xmlns:c16="http://schemas.microsoft.com/office/drawing/2014/chart" uri="{C3380CC4-5D6E-409C-BE32-E72D297353CC}">
              <c16:uniqueId val="{00000001-166D-8643-A993-B8893F4ADE06}"/>
            </c:ext>
          </c:extLst>
        </c:ser>
        <c:dLbls>
          <c:dLblPos val="outEnd"/>
          <c:showLegendKey val="0"/>
          <c:showVal val="1"/>
          <c:showCatName val="0"/>
          <c:showSerName val="0"/>
          <c:showPercent val="0"/>
          <c:showBubbleSize val="0"/>
        </c:dLbls>
        <c:gapWidth val="182"/>
        <c:axId val="447188032"/>
        <c:axId val="447188480"/>
      </c:barChart>
      <c:catAx>
        <c:axId val="44718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88480"/>
        <c:crosses val="autoZero"/>
        <c:auto val="1"/>
        <c:lblAlgn val="ctr"/>
        <c:lblOffset val="100"/>
        <c:noMultiLvlLbl val="0"/>
      </c:catAx>
      <c:valAx>
        <c:axId val="44718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88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774700</xdr:colOff>
      <xdr:row>13</xdr:row>
      <xdr:rowOff>88900</xdr:rowOff>
    </xdr:from>
    <xdr:to>
      <xdr:col>13</xdr:col>
      <xdr:colOff>622300</xdr:colOff>
      <xdr:row>34</xdr:row>
      <xdr:rowOff>139700</xdr:rowOff>
    </xdr:to>
    <xdr:graphicFrame macro="">
      <xdr:nvGraphicFramePr>
        <xdr:cNvPr id="2" name="Chart 1">
          <a:extLst>
            <a:ext uri="{FF2B5EF4-FFF2-40B4-BE49-F238E27FC236}">
              <a16:creationId xmlns:a16="http://schemas.microsoft.com/office/drawing/2014/main" id="{2F032A33-32D4-BA0B-A60D-02EEFF23E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584200</xdr:colOff>
      <xdr:row>15</xdr:row>
      <xdr:rowOff>6350</xdr:rowOff>
    </xdr:from>
    <xdr:to>
      <xdr:col>35</xdr:col>
      <xdr:colOff>114300</xdr:colOff>
      <xdr:row>38</xdr:row>
      <xdr:rowOff>63500</xdr:rowOff>
    </xdr:to>
    <xdr:graphicFrame macro="">
      <xdr:nvGraphicFramePr>
        <xdr:cNvPr id="4" name="Chart 3">
          <a:extLst>
            <a:ext uri="{FF2B5EF4-FFF2-40B4-BE49-F238E27FC236}">
              <a16:creationId xmlns:a16="http://schemas.microsoft.com/office/drawing/2014/main" id="{E1F952C3-95EE-E423-752F-00ABC60F7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1536700</xdr:colOff>
      <xdr:row>12</xdr:row>
      <xdr:rowOff>12700</xdr:rowOff>
    </xdr:from>
    <xdr:to>
      <xdr:col>6</xdr:col>
      <xdr:colOff>266700</xdr:colOff>
      <xdr:row>24</xdr:row>
      <xdr:rowOff>193672</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989DEC16-0825-9FD8-4291-D147395AE25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829300" y="2451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54428</xdr:rowOff>
    </xdr:from>
    <xdr:to>
      <xdr:col>3</xdr:col>
      <xdr:colOff>417286</xdr:colOff>
      <xdr:row>38</xdr:row>
      <xdr:rowOff>114299</xdr:rowOff>
    </xdr:to>
    <xdr:graphicFrame macro="">
      <xdr:nvGraphicFramePr>
        <xdr:cNvPr id="2" name="Chart 1">
          <a:extLst>
            <a:ext uri="{FF2B5EF4-FFF2-40B4-BE49-F238E27FC236}">
              <a16:creationId xmlns:a16="http://schemas.microsoft.com/office/drawing/2014/main" id="{CC28BBD7-276C-5B4A-87D6-F7E28AFF7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507999</xdr:colOff>
      <xdr:row>17</xdr:row>
      <xdr:rowOff>54429</xdr:rowOff>
    </xdr:from>
    <xdr:to>
      <xdr:col>9</xdr:col>
      <xdr:colOff>2311399</xdr:colOff>
      <xdr:row>38</xdr:row>
      <xdr:rowOff>101599</xdr:rowOff>
    </xdr:to>
    <xdr:graphicFrame macro="">
      <xdr:nvGraphicFramePr>
        <xdr:cNvPr id="3" name="Chart 2">
          <a:extLst>
            <a:ext uri="{FF2B5EF4-FFF2-40B4-BE49-F238E27FC236}">
              <a16:creationId xmlns:a16="http://schemas.microsoft.com/office/drawing/2014/main" id="{11519CEC-2E71-D54E-9829-A43F2A168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812800</xdr:colOff>
      <xdr:row>4</xdr:row>
      <xdr:rowOff>0</xdr:rowOff>
    </xdr:from>
    <xdr:to>
      <xdr:col>9</xdr:col>
      <xdr:colOff>1143000</xdr:colOff>
      <xdr:row>13</xdr:row>
      <xdr:rowOff>177800</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5E308543-CDCF-A044-B72B-23D19C71EC7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979229" y="1070429"/>
              <a:ext cx="2833914" cy="1973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70.885065972223" createdVersion="6" refreshedVersion="6" minRefreshableVersion="3" recordCount="200" xr:uid="{C9DA8EF7-74CB-9D4D-A6B2-716F7EA54D97}">
  <cacheSource type="worksheet">
    <worksheetSource name="SalesTable"/>
  </cacheSource>
  <cacheFields count="9">
    <cacheField name="sale_id" numFmtId="0">
      <sharedItems containsSemiMixedTypes="0" containsString="0" containsNumber="1" containsInteger="1" minValue="1" maxValue="200"/>
    </cacheField>
    <cacheField name="product_id" numFmtId="0">
      <sharedItems containsSemiMixedTypes="0" containsString="0" containsNumber="1" containsInteger="1" minValue="1" maxValue="25"/>
    </cacheField>
    <cacheField name="sale_date" numFmtId="14">
      <sharedItems containsSemiMixedTypes="0" containsNonDate="0" containsDate="1" containsString="0" minDate="2026-05-21T00:00:00" maxDate="2026-08-19T00:00:00" count="76">
        <d v="2026-07-29T00:00:00"/>
        <d v="2026-08-11T00:00:00"/>
        <d v="2026-06-27T00:00:00"/>
        <d v="2026-06-03T00:00:00"/>
        <d v="2026-06-20T00:00:00"/>
        <d v="2026-06-06T00:00:00"/>
        <d v="2026-07-11T00:00:00"/>
        <d v="2026-07-01T00:00:00"/>
        <d v="2026-06-26T00:00:00"/>
        <d v="2026-07-16T00:00:00"/>
        <d v="2026-07-27T00:00:00"/>
        <d v="2026-05-25T00:00:00"/>
        <d v="2026-05-22T00:00:00"/>
        <d v="2026-06-19T00:00:00"/>
        <d v="2026-05-23T00:00:00"/>
        <d v="2026-08-04T00:00:00"/>
        <d v="2026-08-06T00:00:00"/>
        <d v="2026-06-13T00:00:00"/>
        <d v="2026-06-10T00:00:00"/>
        <d v="2026-08-07T00:00:00"/>
        <d v="2026-07-17T00:00:00"/>
        <d v="2026-07-18T00:00:00"/>
        <d v="2026-05-24T00:00:00"/>
        <d v="2026-07-07T00:00:00"/>
        <d v="2026-06-01T00:00:00"/>
        <d v="2026-07-30T00:00:00"/>
        <d v="2026-08-16T00:00:00"/>
        <d v="2026-06-28T00:00:00"/>
        <d v="2026-08-05T00:00:00"/>
        <d v="2026-06-17T00:00:00"/>
        <d v="2026-06-09T00:00:00"/>
        <d v="2026-07-12T00:00:00"/>
        <d v="2026-08-12T00:00:00"/>
        <d v="2026-08-08T00:00:00"/>
        <d v="2026-08-03T00:00:00"/>
        <d v="2026-07-20T00:00:00"/>
        <d v="2026-06-23T00:00:00"/>
        <d v="2026-07-10T00:00:00"/>
        <d v="2026-07-19T00:00:00"/>
        <d v="2026-07-02T00:00:00"/>
        <d v="2026-07-15T00:00:00"/>
        <d v="2026-07-14T00:00:00"/>
        <d v="2026-05-29T00:00:00"/>
        <d v="2026-06-11T00:00:00"/>
        <d v="2026-06-12T00:00:00"/>
        <d v="2026-08-13T00:00:00"/>
        <d v="2026-07-31T00:00:00"/>
        <d v="2026-07-28T00:00:00"/>
        <d v="2026-07-26T00:00:00"/>
        <d v="2026-06-08T00:00:00"/>
        <d v="2026-05-28T00:00:00"/>
        <d v="2026-06-04T00:00:00"/>
        <d v="2026-06-05T00:00:00"/>
        <d v="2026-08-18T00:00:00"/>
        <d v="2026-05-27T00:00:00"/>
        <d v="2026-06-24T00:00:00"/>
        <d v="2026-07-06T00:00:00"/>
        <d v="2026-08-02T00:00:00"/>
        <d v="2026-07-22T00:00:00"/>
        <d v="2026-07-21T00:00:00"/>
        <d v="2026-06-07T00:00:00"/>
        <d v="2026-06-15T00:00:00"/>
        <d v="2026-06-14T00:00:00"/>
        <d v="2026-06-25T00:00:00"/>
        <d v="2026-08-01T00:00:00"/>
        <d v="2026-06-18T00:00:00"/>
        <d v="2026-07-09T00:00:00"/>
        <d v="2026-05-30T00:00:00"/>
        <d v="2026-07-04T00:00:00"/>
        <d v="2026-05-21T00:00:00"/>
        <d v="2026-07-13T00:00:00"/>
        <d v="2026-08-15T00:00:00"/>
        <d v="2026-06-21T00:00:00"/>
        <d v="2026-07-03T00:00:00"/>
        <d v="2026-06-16T00:00:00"/>
        <d v="2026-08-17T00:00:00"/>
      </sharedItems>
      <fieldGroup par="8" base="2">
        <rangePr groupBy="days" startDate="2026-05-21T00:00:00" endDate="2026-08-19T00:00:00"/>
        <groupItems count="368">
          <s v="&lt;5/21/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19/26"/>
        </groupItems>
      </fieldGroup>
    </cacheField>
    <cacheField name="quantity" numFmtId="0">
      <sharedItems containsSemiMixedTypes="0" containsString="0" containsNumber="1" containsInteger="1" minValue="1" maxValue="10"/>
    </cacheField>
    <cacheField name="product_name" numFmtId="0">
      <sharedItems count="25">
        <s v="Wireless Mouse"/>
        <s v="USB-C Cable"/>
        <s v="Laptop Stand"/>
        <s v="Webcam Cover"/>
        <s v="Mouse Pad"/>
        <s v="Business Laptop"/>
        <s v="Gaming Laptop"/>
        <s v="Desktop Computer"/>
        <s v="Mini PC"/>
        <s v="Workstation"/>
        <s v="Bluetooth Speaker"/>
        <s v="Wireless Headphones"/>
        <s v="Soundbar"/>
        <s v="USB Microphone"/>
        <s v="Wireless Earbuds"/>
        <s v="Office Chair"/>
        <s v="Desk Lamp"/>
        <s v="Standing Desk"/>
        <s v="Monitor Arm"/>
        <s v="Keyboard Tray"/>
        <s v="Wi-Fi Router"/>
        <s v="Network Switch"/>
        <s v="Wi-Fi Extender"/>
        <s v="Ethernet Adapter"/>
        <s v="Mesh Wi-Fi System"/>
      </sharedItems>
    </cacheField>
    <cacheField name="category" numFmtId="0">
      <sharedItems count="5">
        <s v="Accessories"/>
        <s v="Computer"/>
        <s v="Audio"/>
        <s v="Office"/>
        <s v="Networking"/>
      </sharedItems>
    </cacheField>
    <cacheField name="unit_price" numFmtId="0">
      <sharedItems containsSemiMixedTypes="0" containsString="0" containsNumber="1" minValue="17.239999999999998" maxValue="1387.44" count="25">
        <n v="62.84"/>
        <n v="17.239999999999998"/>
        <n v="38.270000000000003"/>
        <n v="71.17"/>
        <n v="31.46"/>
        <n v="146.37"/>
        <n v="1107.2"/>
        <n v="1387.44"/>
        <n v="844.86"/>
        <n v="718.81"/>
        <n v="233.04"/>
        <n v="358.79"/>
        <n v="487.7"/>
        <n v="176.19"/>
        <n v="250.32"/>
        <n v="282.3"/>
        <n v="25.28"/>
        <n v="191.24"/>
        <n v="250.25"/>
        <n v="62.2"/>
        <n v="147.08000000000001"/>
        <n v="341.92"/>
        <n v="519.54999999999995"/>
        <n v="486.94"/>
        <n v="472.01"/>
      </sharedItems>
    </cacheField>
    <cacheField name="revenue" numFmtId="0">
      <sharedItems containsSemiMixedTypes="0" containsString="0" containsNumber="1" minValue="17.239999999999998" maxValue="4162.32" count="117">
        <n v="502.72"/>
        <n v="86.199999999999989"/>
        <n v="344.43"/>
        <n v="569.36"/>
        <n v="251.68"/>
        <n v="292.74"/>
        <n v="3321.6000000000004"/>
        <n v="4162.32"/>
        <n v="844.86"/>
        <n v="2156.4299999999998"/>
        <n v="233.04"/>
        <n v="1435.16"/>
        <n v="2926.2"/>
        <n v="880.95"/>
        <n v="750.96"/>
        <n v="1129.2"/>
        <n v="50.56"/>
        <n v="956.2"/>
        <n v="250.25"/>
        <n v="124.4"/>
        <n v="1029.5600000000002"/>
        <n v="1025.76"/>
        <n v="519.54999999999995"/>
        <n v="3895.52"/>
        <n v="1888.04"/>
        <n v="975.4"/>
        <n v="2921.64"/>
        <n v="314.60000000000002"/>
        <n v="2393.44"/>
        <n v="2774.88"/>
        <n v="2534.58"/>
        <n v="25.28"/>
        <n v="1076.3700000000001"/>
        <n v="1165.2"/>
        <n v="147.08000000000001"/>
        <n v="157.30000000000001"/>
        <n v="101.12"/>
        <n v="735.40000000000009"/>
        <n v="1437.62"/>
        <n v="1251.5999999999999"/>
        <n v="248.8"/>
        <n v="1558.6499999999999"/>
        <n v="2214.4"/>
        <n v="3304.0699999999997"/>
        <n v="3636.8499999999995"/>
        <n v="146.37"/>
        <n v="1001"/>
        <n v="341.92"/>
        <n v="1001.28"/>
        <n v="38.270000000000003"/>
        <n v="500.64"/>
        <n v="528.56999999999994"/>
        <n v="717.58"/>
        <n v="439.88"/>
        <n v="699.12"/>
        <n v="628.40000000000009"/>
        <n v="2832.06"/>
        <n v="1689.72"/>
        <n v="588.32000000000005"/>
        <n v="125.84"/>
        <n v="51.72"/>
        <n v="1057.1399999999999"/>
        <n v="486.94"/>
        <n v="17.239999999999998"/>
        <n v="294.16000000000003"/>
        <n v="573.72"/>
        <n v="126.4"/>
        <n v="284.68"/>
        <n v="103.44"/>
        <n v="565.56000000000006"/>
        <n v="1501.92"/>
        <n v="704.76"/>
        <n v="62.2"/>
        <n v="94.38"/>
        <n v="3408.58"/>
        <n v="1709.6000000000001"/>
        <n v="1947.76"/>
        <n v="2438.5"/>
        <n v="188.52"/>
        <n v="487.7"/>
        <n v="498.19"/>
        <n v="1251.25"/>
        <n v="314.20000000000005"/>
        <n v="932.16"/>
        <n v="76.540000000000006"/>
        <n v="466.08"/>
        <n v="176.19"/>
        <n v="153.08000000000001"/>
        <n v="1411.5"/>
        <n v="4156.3999999999996"/>
        <n v="282.3"/>
        <n v="750.75"/>
        <n v="1460.82"/>
        <n v="718.81"/>
        <n v="188.76"/>
        <n v="191.24"/>
        <n v="125.68"/>
        <n v="382.48"/>
        <n v="283.14"/>
        <n v="358.79"/>
        <n v="1107.2"/>
        <n v="2434.6999999999998"/>
        <n v="1387.44"/>
        <n v="944.02"/>
        <n v="220.22"/>
        <n v="3776.08"/>
        <n v="71.17"/>
        <n v="439.11"/>
        <n v="683.84"/>
        <n v="1793.95"/>
        <n v="75.84"/>
        <n v="2152.7400000000002"/>
        <n v="2597.75"/>
        <n v="2360.0500000000002"/>
        <n v="142.34"/>
        <n v="1039.0999999999999"/>
        <n v="3117.2999999999997"/>
      </sharedItems>
    </cacheField>
    <cacheField name="Months" numFmtId="0" databaseField="0">
      <fieldGroup base="2">
        <rangePr groupBy="months" startDate="2026-05-21T00:00:00" endDate="2026-08-19T00:00:00"/>
        <groupItems count="14">
          <s v="&lt;5/21/26"/>
          <s v="Jan"/>
          <s v="Feb"/>
          <s v="Mar"/>
          <s v="Apr"/>
          <s v="May"/>
          <s v="Jun"/>
          <s v="Jul"/>
          <s v="Aug"/>
          <s v="Sep"/>
          <s v="Oct"/>
          <s v="Nov"/>
          <s v="Dec"/>
          <s v="&gt;8/19/26"/>
        </groupItems>
      </fieldGroup>
    </cacheField>
  </cacheFields>
  <extLst>
    <ext xmlns:x14="http://schemas.microsoft.com/office/spreadsheetml/2009/9/main" uri="{725AE2AE-9491-48be-B2B4-4EB974FC3084}">
      <x14:pivotCacheDefinition pivotCacheId="20182038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70.885066435185" createdVersion="6" refreshedVersion="6" minRefreshableVersion="3" recordCount="55" xr:uid="{40EC24C7-A6FC-7E43-ADB1-2BCD69897D8F}">
  <cacheSource type="worksheet">
    <worksheetSource name="InventoryTable"/>
  </cacheSource>
  <cacheFields count="5">
    <cacheField name="inventory_id" numFmtId="0">
      <sharedItems containsSemiMixedTypes="0" containsString="0" containsNumber="1" containsInteger="1" minValue="1" maxValue="55"/>
    </cacheField>
    <cacheField name="product_id" numFmtId="0">
      <sharedItems containsSemiMixedTypes="0" containsString="0" containsNumber="1" containsInteger="1" minValue="1" maxValue="25"/>
    </cacheField>
    <cacheField name="product_name" numFmtId="0">
      <sharedItems count="25">
        <s v="Wireless Mouse"/>
        <s v="USB-C Cable"/>
        <s v="Laptop Stand"/>
        <s v="Webcam Cover"/>
        <s v="Mouse Pad"/>
        <s v="Business Laptop"/>
        <s v="Gaming Laptop"/>
        <s v="Desktop Computer"/>
        <s v="Mini PC"/>
        <s v="Workstation"/>
        <s v="Bluetooth Speaker"/>
        <s v="Wireless Headphones"/>
        <s v="Soundbar"/>
        <s v="USB Microphone"/>
        <s v="Wireless Earbuds"/>
        <s v="Office Chair"/>
        <s v="Desk Lamp"/>
        <s v="Standing Desk"/>
        <s v="Monitor Arm"/>
        <s v="Keyboard Tray"/>
        <s v="Wi-Fi Router"/>
        <s v="Network Switch"/>
        <s v="Wi-Fi Extender"/>
        <s v="Ethernet Adapter"/>
        <s v="Mesh Wi-Fi System"/>
      </sharedItems>
    </cacheField>
    <cacheField name="warehouse" numFmtId="0">
      <sharedItems count="3">
        <s v="New York"/>
        <s v="Dallas"/>
        <s v="Chicago"/>
      </sharedItems>
    </cacheField>
    <cacheField name="stock_quantity" numFmtId="0">
      <sharedItems containsSemiMixedTypes="0" containsString="0" containsNumber="1" containsInteger="1" minValue="10" maxValue="26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n v="1"/>
    <x v="0"/>
    <n v="8"/>
    <x v="0"/>
    <x v="0"/>
    <x v="0"/>
    <x v="0"/>
  </r>
  <r>
    <n v="2"/>
    <n v="2"/>
    <x v="1"/>
    <n v="5"/>
    <x v="1"/>
    <x v="0"/>
    <x v="1"/>
    <x v="1"/>
  </r>
  <r>
    <n v="3"/>
    <n v="3"/>
    <x v="2"/>
    <n v="9"/>
    <x v="2"/>
    <x v="0"/>
    <x v="2"/>
    <x v="2"/>
  </r>
  <r>
    <n v="4"/>
    <n v="4"/>
    <x v="3"/>
    <n v="8"/>
    <x v="3"/>
    <x v="0"/>
    <x v="3"/>
    <x v="3"/>
  </r>
  <r>
    <n v="5"/>
    <n v="5"/>
    <x v="4"/>
    <n v="8"/>
    <x v="4"/>
    <x v="0"/>
    <x v="4"/>
    <x v="4"/>
  </r>
  <r>
    <n v="6"/>
    <n v="6"/>
    <x v="5"/>
    <n v="2"/>
    <x v="5"/>
    <x v="1"/>
    <x v="5"/>
    <x v="5"/>
  </r>
  <r>
    <n v="7"/>
    <n v="7"/>
    <x v="6"/>
    <n v="3"/>
    <x v="6"/>
    <x v="1"/>
    <x v="6"/>
    <x v="6"/>
  </r>
  <r>
    <n v="8"/>
    <n v="8"/>
    <x v="7"/>
    <n v="3"/>
    <x v="7"/>
    <x v="1"/>
    <x v="7"/>
    <x v="7"/>
  </r>
  <r>
    <n v="9"/>
    <n v="9"/>
    <x v="8"/>
    <n v="1"/>
    <x v="8"/>
    <x v="1"/>
    <x v="8"/>
    <x v="8"/>
  </r>
  <r>
    <n v="10"/>
    <n v="10"/>
    <x v="9"/>
    <n v="3"/>
    <x v="9"/>
    <x v="1"/>
    <x v="9"/>
    <x v="9"/>
  </r>
  <r>
    <n v="11"/>
    <n v="11"/>
    <x v="10"/>
    <n v="1"/>
    <x v="10"/>
    <x v="2"/>
    <x v="10"/>
    <x v="10"/>
  </r>
  <r>
    <n v="12"/>
    <n v="12"/>
    <x v="11"/>
    <n v="4"/>
    <x v="11"/>
    <x v="2"/>
    <x v="11"/>
    <x v="11"/>
  </r>
  <r>
    <n v="13"/>
    <n v="13"/>
    <x v="12"/>
    <n v="6"/>
    <x v="12"/>
    <x v="2"/>
    <x v="12"/>
    <x v="12"/>
  </r>
  <r>
    <n v="14"/>
    <n v="14"/>
    <x v="13"/>
    <n v="5"/>
    <x v="13"/>
    <x v="2"/>
    <x v="13"/>
    <x v="13"/>
  </r>
  <r>
    <n v="15"/>
    <n v="15"/>
    <x v="14"/>
    <n v="3"/>
    <x v="14"/>
    <x v="2"/>
    <x v="14"/>
    <x v="14"/>
  </r>
  <r>
    <n v="16"/>
    <n v="16"/>
    <x v="15"/>
    <n v="4"/>
    <x v="15"/>
    <x v="3"/>
    <x v="15"/>
    <x v="15"/>
  </r>
  <r>
    <n v="17"/>
    <n v="17"/>
    <x v="16"/>
    <n v="2"/>
    <x v="16"/>
    <x v="3"/>
    <x v="16"/>
    <x v="16"/>
  </r>
  <r>
    <n v="18"/>
    <n v="18"/>
    <x v="3"/>
    <n v="5"/>
    <x v="17"/>
    <x v="3"/>
    <x v="17"/>
    <x v="17"/>
  </r>
  <r>
    <n v="19"/>
    <n v="19"/>
    <x v="17"/>
    <n v="1"/>
    <x v="18"/>
    <x v="3"/>
    <x v="18"/>
    <x v="18"/>
  </r>
  <r>
    <n v="20"/>
    <n v="20"/>
    <x v="18"/>
    <n v="2"/>
    <x v="19"/>
    <x v="3"/>
    <x v="19"/>
    <x v="19"/>
  </r>
  <r>
    <n v="21"/>
    <n v="21"/>
    <x v="10"/>
    <n v="7"/>
    <x v="20"/>
    <x v="4"/>
    <x v="20"/>
    <x v="20"/>
  </r>
  <r>
    <n v="22"/>
    <n v="22"/>
    <x v="19"/>
    <n v="3"/>
    <x v="21"/>
    <x v="4"/>
    <x v="21"/>
    <x v="21"/>
  </r>
  <r>
    <n v="23"/>
    <n v="23"/>
    <x v="7"/>
    <n v="1"/>
    <x v="22"/>
    <x v="4"/>
    <x v="22"/>
    <x v="22"/>
  </r>
  <r>
    <n v="24"/>
    <n v="24"/>
    <x v="14"/>
    <n v="8"/>
    <x v="23"/>
    <x v="4"/>
    <x v="23"/>
    <x v="23"/>
  </r>
  <r>
    <n v="25"/>
    <n v="25"/>
    <x v="20"/>
    <n v="4"/>
    <x v="24"/>
    <x v="4"/>
    <x v="24"/>
    <x v="24"/>
  </r>
  <r>
    <n v="26"/>
    <n v="13"/>
    <x v="10"/>
    <n v="2"/>
    <x v="12"/>
    <x v="2"/>
    <x v="12"/>
    <x v="25"/>
  </r>
  <r>
    <n v="27"/>
    <n v="2"/>
    <x v="21"/>
    <n v="5"/>
    <x v="1"/>
    <x v="0"/>
    <x v="1"/>
    <x v="1"/>
  </r>
  <r>
    <n v="28"/>
    <n v="24"/>
    <x v="22"/>
    <n v="6"/>
    <x v="23"/>
    <x v="4"/>
    <x v="23"/>
    <x v="26"/>
  </r>
  <r>
    <n v="29"/>
    <n v="5"/>
    <x v="23"/>
    <n v="10"/>
    <x v="4"/>
    <x v="0"/>
    <x v="4"/>
    <x v="27"/>
  </r>
  <r>
    <n v="30"/>
    <n v="22"/>
    <x v="2"/>
    <n v="7"/>
    <x v="21"/>
    <x v="4"/>
    <x v="21"/>
    <x v="28"/>
  </r>
  <r>
    <n v="31"/>
    <n v="8"/>
    <x v="24"/>
    <n v="2"/>
    <x v="7"/>
    <x v="1"/>
    <x v="7"/>
    <x v="29"/>
  </r>
  <r>
    <n v="32"/>
    <n v="9"/>
    <x v="25"/>
    <n v="3"/>
    <x v="8"/>
    <x v="1"/>
    <x v="8"/>
    <x v="30"/>
  </r>
  <r>
    <n v="33"/>
    <n v="17"/>
    <x v="26"/>
    <n v="1"/>
    <x v="16"/>
    <x v="3"/>
    <x v="16"/>
    <x v="31"/>
  </r>
  <r>
    <n v="34"/>
    <n v="12"/>
    <x v="1"/>
    <n v="3"/>
    <x v="11"/>
    <x v="2"/>
    <x v="11"/>
    <x v="32"/>
  </r>
  <r>
    <n v="35"/>
    <n v="11"/>
    <x v="27"/>
    <n v="5"/>
    <x v="10"/>
    <x v="2"/>
    <x v="10"/>
    <x v="33"/>
  </r>
  <r>
    <n v="36"/>
    <n v="21"/>
    <x v="28"/>
    <n v="1"/>
    <x v="20"/>
    <x v="4"/>
    <x v="20"/>
    <x v="34"/>
  </r>
  <r>
    <n v="37"/>
    <n v="5"/>
    <x v="29"/>
    <n v="5"/>
    <x v="4"/>
    <x v="0"/>
    <x v="4"/>
    <x v="35"/>
  </r>
  <r>
    <n v="38"/>
    <n v="17"/>
    <x v="30"/>
    <n v="4"/>
    <x v="16"/>
    <x v="3"/>
    <x v="16"/>
    <x v="36"/>
  </r>
  <r>
    <n v="39"/>
    <n v="21"/>
    <x v="31"/>
    <n v="5"/>
    <x v="20"/>
    <x v="4"/>
    <x v="20"/>
    <x v="37"/>
  </r>
  <r>
    <n v="40"/>
    <n v="10"/>
    <x v="32"/>
    <n v="2"/>
    <x v="9"/>
    <x v="1"/>
    <x v="9"/>
    <x v="38"/>
  </r>
  <r>
    <n v="41"/>
    <n v="15"/>
    <x v="27"/>
    <n v="5"/>
    <x v="14"/>
    <x v="2"/>
    <x v="14"/>
    <x v="39"/>
  </r>
  <r>
    <n v="42"/>
    <n v="20"/>
    <x v="10"/>
    <n v="4"/>
    <x v="19"/>
    <x v="3"/>
    <x v="19"/>
    <x v="40"/>
  </r>
  <r>
    <n v="43"/>
    <n v="23"/>
    <x v="33"/>
    <n v="3"/>
    <x v="22"/>
    <x v="4"/>
    <x v="22"/>
    <x v="41"/>
  </r>
  <r>
    <n v="44"/>
    <n v="10"/>
    <x v="5"/>
    <n v="3"/>
    <x v="9"/>
    <x v="1"/>
    <x v="9"/>
    <x v="9"/>
  </r>
  <r>
    <n v="45"/>
    <n v="9"/>
    <x v="3"/>
    <n v="3"/>
    <x v="8"/>
    <x v="1"/>
    <x v="8"/>
    <x v="30"/>
  </r>
  <r>
    <n v="46"/>
    <n v="7"/>
    <x v="11"/>
    <n v="2"/>
    <x v="6"/>
    <x v="1"/>
    <x v="6"/>
    <x v="42"/>
  </r>
  <r>
    <n v="47"/>
    <n v="25"/>
    <x v="34"/>
    <n v="7"/>
    <x v="24"/>
    <x v="4"/>
    <x v="24"/>
    <x v="43"/>
  </r>
  <r>
    <n v="48"/>
    <n v="6"/>
    <x v="35"/>
    <n v="2"/>
    <x v="5"/>
    <x v="1"/>
    <x v="5"/>
    <x v="5"/>
  </r>
  <r>
    <n v="49"/>
    <n v="23"/>
    <x v="36"/>
    <n v="7"/>
    <x v="22"/>
    <x v="4"/>
    <x v="22"/>
    <x v="44"/>
  </r>
  <r>
    <n v="50"/>
    <n v="6"/>
    <x v="25"/>
    <n v="1"/>
    <x v="5"/>
    <x v="1"/>
    <x v="5"/>
    <x v="45"/>
  </r>
  <r>
    <n v="51"/>
    <n v="19"/>
    <x v="37"/>
    <n v="4"/>
    <x v="18"/>
    <x v="3"/>
    <x v="18"/>
    <x v="46"/>
  </r>
  <r>
    <n v="52"/>
    <n v="22"/>
    <x v="38"/>
    <n v="1"/>
    <x v="21"/>
    <x v="4"/>
    <x v="21"/>
    <x v="47"/>
  </r>
  <r>
    <n v="53"/>
    <n v="15"/>
    <x v="12"/>
    <n v="4"/>
    <x v="14"/>
    <x v="2"/>
    <x v="14"/>
    <x v="48"/>
  </r>
  <r>
    <n v="54"/>
    <n v="3"/>
    <x v="39"/>
    <n v="1"/>
    <x v="2"/>
    <x v="0"/>
    <x v="2"/>
    <x v="49"/>
  </r>
  <r>
    <n v="55"/>
    <n v="15"/>
    <x v="40"/>
    <n v="2"/>
    <x v="14"/>
    <x v="2"/>
    <x v="14"/>
    <x v="50"/>
  </r>
  <r>
    <n v="56"/>
    <n v="14"/>
    <x v="41"/>
    <n v="3"/>
    <x v="13"/>
    <x v="2"/>
    <x v="13"/>
    <x v="51"/>
  </r>
  <r>
    <n v="57"/>
    <n v="12"/>
    <x v="42"/>
    <n v="2"/>
    <x v="11"/>
    <x v="2"/>
    <x v="11"/>
    <x v="52"/>
  </r>
  <r>
    <n v="58"/>
    <n v="10"/>
    <x v="22"/>
    <n v="3"/>
    <x v="9"/>
    <x v="1"/>
    <x v="9"/>
    <x v="9"/>
  </r>
  <r>
    <n v="59"/>
    <n v="1"/>
    <x v="38"/>
    <n v="7"/>
    <x v="0"/>
    <x v="0"/>
    <x v="0"/>
    <x v="53"/>
  </r>
  <r>
    <n v="60"/>
    <n v="11"/>
    <x v="43"/>
    <n v="3"/>
    <x v="10"/>
    <x v="2"/>
    <x v="10"/>
    <x v="54"/>
  </r>
  <r>
    <n v="61"/>
    <n v="1"/>
    <x v="44"/>
    <n v="10"/>
    <x v="0"/>
    <x v="0"/>
    <x v="0"/>
    <x v="55"/>
  </r>
  <r>
    <n v="62"/>
    <n v="25"/>
    <x v="11"/>
    <n v="6"/>
    <x v="24"/>
    <x v="4"/>
    <x v="24"/>
    <x v="56"/>
  </r>
  <r>
    <n v="63"/>
    <n v="9"/>
    <x v="45"/>
    <n v="2"/>
    <x v="8"/>
    <x v="1"/>
    <x v="8"/>
    <x v="57"/>
  </r>
  <r>
    <n v="64"/>
    <n v="19"/>
    <x v="24"/>
    <n v="1"/>
    <x v="18"/>
    <x v="3"/>
    <x v="18"/>
    <x v="18"/>
  </r>
  <r>
    <n v="65"/>
    <n v="21"/>
    <x v="29"/>
    <n v="4"/>
    <x v="20"/>
    <x v="4"/>
    <x v="20"/>
    <x v="58"/>
  </r>
  <r>
    <n v="66"/>
    <n v="5"/>
    <x v="46"/>
    <n v="4"/>
    <x v="4"/>
    <x v="0"/>
    <x v="4"/>
    <x v="59"/>
  </r>
  <r>
    <n v="67"/>
    <n v="2"/>
    <x v="5"/>
    <n v="3"/>
    <x v="1"/>
    <x v="0"/>
    <x v="1"/>
    <x v="60"/>
  </r>
  <r>
    <n v="68"/>
    <n v="14"/>
    <x v="19"/>
    <n v="6"/>
    <x v="13"/>
    <x v="2"/>
    <x v="13"/>
    <x v="61"/>
  </r>
  <r>
    <n v="69"/>
    <n v="24"/>
    <x v="43"/>
    <n v="1"/>
    <x v="23"/>
    <x v="4"/>
    <x v="23"/>
    <x v="62"/>
  </r>
  <r>
    <n v="70"/>
    <n v="20"/>
    <x v="19"/>
    <n v="2"/>
    <x v="19"/>
    <x v="3"/>
    <x v="19"/>
    <x v="19"/>
  </r>
  <r>
    <n v="71"/>
    <n v="8"/>
    <x v="47"/>
    <n v="2"/>
    <x v="7"/>
    <x v="1"/>
    <x v="7"/>
    <x v="29"/>
  </r>
  <r>
    <n v="72"/>
    <n v="2"/>
    <x v="39"/>
    <n v="1"/>
    <x v="1"/>
    <x v="0"/>
    <x v="1"/>
    <x v="63"/>
  </r>
  <r>
    <n v="73"/>
    <n v="25"/>
    <x v="48"/>
    <n v="7"/>
    <x v="24"/>
    <x v="4"/>
    <x v="24"/>
    <x v="43"/>
  </r>
  <r>
    <n v="74"/>
    <n v="25"/>
    <x v="2"/>
    <n v="7"/>
    <x v="24"/>
    <x v="4"/>
    <x v="24"/>
    <x v="43"/>
  </r>
  <r>
    <n v="75"/>
    <n v="21"/>
    <x v="49"/>
    <n v="2"/>
    <x v="20"/>
    <x v="4"/>
    <x v="20"/>
    <x v="64"/>
  </r>
  <r>
    <n v="76"/>
    <n v="19"/>
    <x v="30"/>
    <n v="1"/>
    <x v="18"/>
    <x v="3"/>
    <x v="18"/>
    <x v="18"/>
  </r>
  <r>
    <n v="77"/>
    <n v="17"/>
    <x v="50"/>
    <n v="1"/>
    <x v="16"/>
    <x v="3"/>
    <x v="16"/>
    <x v="31"/>
  </r>
  <r>
    <n v="78"/>
    <n v="11"/>
    <x v="3"/>
    <n v="1"/>
    <x v="10"/>
    <x v="2"/>
    <x v="10"/>
    <x v="10"/>
  </r>
  <r>
    <n v="79"/>
    <n v="18"/>
    <x v="51"/>
    <n v="3"/>
    <x v="17"/>
    <x v="3"/>
    <x v="17"/>
    <x v="65"/>
  </r>
  <r>
    <n v="80"/>
    <n v="17"/>
    <x v="52"/>
    <n v="5"/>
    <x v="16"/>
    <x v="3"/>
    <x v="16"/>
    <x v="66"/>
  </r>
  <r>
    <n v="81"/>
    <n v="4"/>
    <x v="53"/>
    <n v="4"/>
    <x v="3"/>
    <x v="0"/>
    <x v="3"/>
    <x v="67"/>
  </r>
  <r>
    <n v="82"/>
    <n v="2"/>
    <x v="20"/>
    <n v="6"/>
    <x v="1"/>
    <x v="0"/>
    <x v="1"/>
    <x v="68"/>
  </r>
  <r>
    <n v="83"/>
    <n v="1"/>
    <x v="29"/>
    <n v="9"/>
    <x v="0"/>
    <x v="0"/>
    <x v="0"/>
    <x v="69"/>
  </r>
  <r>
    <n v="84"/>
    <n v="15"/>
    <x v="54"/>
    <n v="6"/>
    <x v="14"/>
    <x v="2"/>
    <x v="14"/>
    <x v="70"/>
  </r>
  <r>
    <n v="85"/>
    <n v="14"/>
    <x v="32"/>
    <n v="4"/>
    <x v="13"/>
    <x v="2"/>
    <x v="13"/>
    <x v="71"/>
  </r>
  <r>
    <n v="86"/>
    <n v="20"/>
    <x v="42"/>
    <n v="1"/>
    <x v="19"/>
    <x v="3"/>
    <x v="19"/>
    <x v="72"/>
  </r>
  <r>
    <n v="87"/>
    <n v="5"/>
    <x v="13"/>
    <n v="3"/>
    <x v="4"/>
    <x v="0"/>
    <x v="4"/>
    <x v="73"/>
  </r>
  <r>
    <n v="88"/>
    <n v="24"/>
    <x v="55"/>
    <n v="7"/>
    <x v="23"/>
    <x v="4"/>
    <x v="23"/>
    <x v="74"/>
  </r>
  <r>
    <n v="89"/>
    <n v="22"/>
    <x v="56"/>
    <n v="5"/>
    <x v="21"/>
    <x v="4"/>
    <x v="21"/>
    <x v="75"/>
  </r>
  <r>
    <n v="90"/>
    <n v="24"/>
    <x v="46"/>
    <n v="4"/>
    <x v="23"/>
    <x v="4"/>
    <x v="23"/>
    <x v="76"/>
  </r>
  <r>
    <n v="91"/>
    <n v="25"/>
    <x v="6"/>
    <n v="6"/>
    <x v="24"/>
    <x v="4"/>
    <x v="24"/>
    <x v="56"/>
  </r>
  <r>
    <n v="92"/>
    <n v="22"/>
    <x v="57"/>
    <n v="5"/>
    <x v="21"/>
    <x v="4"/>
    <x v="21"/>
    <x v="75"/>
  </r>
  <r>
    <n v="93"/>
    <n v="12"/>
    <x v="58"/>
    <n v="4"/>
    <x v="11"/>
    <x v="2"/>
    <x v="11"/>
    <x v="11"/>
  </r>
  <r>
    <n v="94"/>
    <n v="17"/>
    <x v="3"/>
    <n v="2"/>
    <x v="16"/>
    <x v="3"/>
    <x v="16"/>
    <x v="16"/>
  </r>
  <r>
    <n v="95"/>
    <n v="13"/>
    <x v="37"/>
    <n v="5"/>
    <x v="12"/>
    <x v="2"/>
    <x v="12"/>
    <x v="77"/>
  </r>
  <r>
    <n v="96"/>
    <n v="25"/>
    <x v="8"/>
    <n v="6"/>
    <x v="24"/>
    <x v="4"/>
    <x v="24"/>
    <x v="56"/>
  </r>
  <r>
    <n v="97"/>
    <n v="9"/>
    <x v="24"/>
    <n v="2"/>
    <x v="8"/>
    <x v="1"/>
    <x v="8"/>
    <x v="57"/>
  </r>
  <r>
    <n v="98"/>
    <n v="1"/>
    <x v="59"/>
    <n v="3"/>
    <x v="0"/>
    <x v="0"/>
    <x v="0"/>
    <x v="78"/>
  </r>
  <r>
    <n v="99"/>
    <n v="13"/>
    <x v="34"/>
    <n v="1"/>
    <x v="12"/>
    <x v="2"/>
    <x v="12"/>
    <x v="79"/>
  </r>
  <r>
    <n v="100"/>
    <n v="7"/>
    <x v="57"/>
    <n v="2"/>
    <x v="6"/>
    <x v="1"/>
    <x v="6"/>
    <x v="42"/>
  </r>
  <r>
    <n v="101"/>
    <n v="9"/>
    <x v="16"/>
    <n v="2"/>
    <x v="8"/>
    <x v="1"/>
    <x v="8"/>
    <x v="57"/>
  </r>
  <r>
    <n v="102"/>
    <n v="11"/>
    <x v="59"/>
    <n v="3"/>
    <x v="10"/>
    <x v="2"/>
    <x v="10"/>
    <x v="54"/>
  </r>
  <r>
    <n v="103"/>
    <n v="4"/>
    <x v="9"/>
    <n v="7"/>
    <x v="3"/>
    <x v="0"/>
    <x v="3"/>
    <x v="80"/>
  </r>
  <r>
    <n v="104"/>
    <n v="21"/>
    <x v="29"/>
    <n v="7"/>
    <x v="20"/>
    <x v="4"/>
    <x v="20"/>
    <x v="20"/>
  </r>
  <r>
    <n v="105"/>
    <n v="19"/>
    <x v="44"/>
    <n v="5"/>
    <x v="18"/>
    <x v="3"/>
    <x v="18"/>
    <x v="81"/>
  </r>
  <r>
    <n v="106"/>
    <n v="17"/>
    <x v="60"/>
    <n v="4"/>
    <x v="16"/>
    <x v="3"/>
    <x v="16"/>
    <x v="36"/>
  </r>
  <r>
    <n v="107"/>
    <n v="8"/>
    <x v="61"/>
    <n v="3"/>
    <x v="7"/>
    <x v="1"/>
    <x v="7"/>
    <x v="7"/>
  </r>
  <r>
    <n v="108"/>
    <n v="15"/>
    <x v="2"/>
    <n v="5"/>
    <x v="14"/>
    <x v="2"/>
    <x v="14"/>
    <x v="39"/>
  </r>
  <r>
    <n v="109"/>
    <n v="6"/>
    <x v="3"/>
    <n v="2"/>
    <x v="5"/>
    <x v="1"/>
    <x v="5"/>
    <x v="5"/>
  </r>
  <r>
    <n v="110"/>
    <n v="1"/>
    <x v="62"/>
    <n v="5"/>
    <x v="0"/>
    <x v="0"/>
    <x v="0"/>
    <x v="82"/>
  </r>
  <r>
    <n v="111"/>
    <n v="11"/>
    <x v="16"/>
    <n v="4"/>
    <x v="10"/>
    <x v="2"/>
    <x v="10"/>
    <x v="83"/>
  </r>
  <r>
    <n v="112"/>
    <n v="24"/>
    <x v="49"/>
    <n v="6"/>
    <x v="23"/>
    <x v="4"/>
    <x v="23"/>
    <x v="26"/>
  </r>
  <r>
    <n v="113"/>
    <n v="3"/>
    <x v="40"/>
    <n v="2"/>
    <x v="2"/>
    <x v="0"/>
    <x v="2"/>
    <x v="84"/>
  </r>
  <r>
    <n v="114"/>
    <n v="19"/>
    <x v="22"/>
    <n v="1"/>
    <x v="18"/>
    <x v="3"/>
    <x v="18"/>
    <x v="18"/>
  </r>
  <r>
    <n v="115"/>
    <n v="24"/>
    <x v="63"/>
    <n v="1"/>
    <x v="23"/>
    <x v="4"/>
    <x v="23"/>
    <x v="62"/>
  </r>
  <r>
    <n v="116"/>
    <n v="11"/>
    <x v="64"/>
    <n v="2"/>
    <x v="10"/>
    <x v="2"/>
    <x v="10"/>
    <x v="85"/>
  </r>
  <r>
    <n v="117"/>
    <n v="9"/>
    <x v="65"/>
    <n v="3"/>
    <x v="8"/>
    <x v="1"/>
    <x v="8"/>
    <x v="30"/>
  </r>
  <r>
    <n v="118"/>
    <n v="14"/>
    <x v="66"/>
    <n v="1"/>
    <x v="13"/>
    <x v="2"/>
    <x v="13"/>
    <x v="86"/>
  </r>
  <r>
    <n v="119"/>
    <n v="10"/>
    <x v="33"/>
    <n v="3"/>
    <x v="9"/>
    <x v="1"/>
    <x v="9"/>
    <x v="9"/>
  </r>
  <r>
    <n v="120"/>
    <n v="2"/>
    <x v="46"/>
    <n v="1"/>
    <x v="1"/>
    <x v="0"/>
    <x v="1"/>
    <x v="63"/>
  </r>
  <r>
    <n v="121"/>
    <n v="3"/>
    <x v="42"/>
    <n v="4"/>
    <x v="2"/>
    <x v="0"/>
    <x v="2"/>
    <x v="87"/>
  </r>
  <r>
    <n v="122"/>
    <n v="23"/>
    <x v="19"/>
    <n v="7"/>
    <x v="22"/>
    <x v="4"/>
    <x v="22"/>
    <x v="44"/>
  </r>
  <r>
    <n v="123"/>
    <n v="16"/>
    <x v="28"/>
    <n v="5"/>
    <x v="15"/>
    <x v="3"/>
    <x v="15"/>
    <x v="88"/>
  </r>
  <r>
    <n v="124"/>
    <n v="15"/>
    <x v="56"/>
    <n v="3"/>
    <x v="14"/>
    <x v="2"/>
    <x v="14"/>
    <x v="14"/>
  </r>
  <r>
    <n v="125"/>
    <n v="23"/>
    <x v="67"/>
    <n v="8"/>
    <x v="22"/>
    <x v="4"/>
    <x v="22"/>
    <x v="89"/>
  </r>
  <r>
    <n v="126"/>
    <n v="16"/>
    <x v="28"/>
    <n v="5"/>
    <x v="15"/>
    <x v="3"/>
    <x v="15"/>
    <x v="88"/>
  </r>
  <r>
    <n v="127"/>
    <n v="16"/>
    <x v="24"/>
    <n v="1"/>
    <x v="15"/>
    <x v="3"/>
    <x v="15"/>
    <x v="90"/>
  </r>
  <r>
    <n v="128"/>
    <n v="19"/>
    <x v="56"/>
    <n v="3"/>
    <x v="18"/>
    <x v="3"/>
    <x v="18"/>
    <x v="91"/>
  </r>
  <r>
    <n v="129"/>
    <n v="15"/>
    <x v="1"/>
    <n v="6"/>
    <x v="14"/>
    <x v="2"/>
    <x v="14"/>
    <x v="70"/>
  </r>
  <r>
    <n v="130"/>
    <n v="24"/>
    <x v="54"/>
    <n v="3"/>
    <x v="23"/>
    <x v="4"/>
    <x v="23"/>
    <x v="92"/>
  </r>
  <r>
    <n v="131"/>
    <n v="10"/>
    <x v="59"/>
    <n v="1"/>
    <x v="9"/>
    <x v="1"/>
    <x v="9"/>
    <x v="93"/>
  </r>
  <r>
    <n v="132"/>
    <n v="9"/>
    <x v="46"/>
    <n v="1"/>
    <x v="8"/>
    <x v="1"/>
    <x v="8"/>
    <x v="8"/>
  </r>
  <r>
    <n v="133"/>
    <n v="20"/>
    <x v="23"/>
    <n v="2"/>
    <x v="19"/>
    <x v="3"/>
    <x v="19"/>
    <x v="19"/>
  </r>
  <r>
    <n v="134"/>
    <n v="5"/>
    <x v="28"/>
    <n v="6"/>
    <x v="4"/>
    <x v="0"/>
    <x v="4"/>
    <x v="94"/>
  </r>
  <r>
    <n v="135"/>
    <n v="1"/>
    <x v="52"/>
    <n v="9"/>
    <x v="0"/>
    <x v="0"/>
    <x v="0"/>
    <x v="69"/>
  </r>
  <r>
    <n v="136"/>
    <n v="1"/>
    <x v="60"/>
    <n v="5"/>
    <x v="0"/>
    <x v="0"/>
    <x v="0"/>
    <x v="82"/>
  </r>
  <r>
    <n v="137"/>
    <n v="25"/>
    <x v="11"/>
    <n v="7"/>
    <x v="24"/>
    <x v="4"/>
    <x v="24"/>
    <x v="43"/>
  </r>
  <r>
    <n v="138"/>
    <n v="18"/>
    <x v="8"/>
    <n v="1"/>
    <x v="17"/>
    <x v="3"/>
    <x v="17"/>
    <x v="95"/>
  </r>
  <r>
    <n v="139"/>
    <n v="19"/>
    <x v="68"/>
    <n v="3"/>
    <x v="18"/>
    <x v="3"/>
    <x v="18"/>
    <x v="91"/>
  </r>
  <r>
    <n v="140"/>
    <n v="1"/>
    <x v="40"/>
    <n v="2"/>
    <x v="0"/>
    <x v="0"/>
    <x v="0"/>
    <x v="96"/>
  </r>
  <r>
    <n v="141"/>
    <n v="18"/>
    <x v="65"/>
    <n v="2"/>
    <x v="17"/>
    <x v="3"/>
    <x v="17"/>
    <x v="97"/>
  </r>
  <r>
    <n v="142"/>
    <n v="11"/>
    <x v="63"/>
    <n v="2"/>
    <x v="10"/>
    <x v="2"/>
    <x v="10"/>
    <x v="85"/>
  </r>
  <r>
    <n v="143"/>
    <n v="24"/>
    <x v="53"/>
    <n v="6"/>
    <x v="23"/>
    <x v="4"/>
    <x v="23"/>
    <x v="26"/>
  </r>
  <r>
    <n v="144"/>
    <n v="5"/>
    <x v="43"/>
    <n v="9"/>
    <x v="4"/>
    <x v="0"/>
    <x v="4"/>
    <x v="98"/>
  </r>
  <r>
    <n v="145"/>
    <n v="9"/>
    <x v="15"/>
    <n v="1"/>
    <x v="8"/>
    <x v="1"/>
    <x v="8"/>
    <x v="8"/>
  </r>
  <r>
    <n v="146"/>
    <n v="10"/>
    <x v="0"/>
    <n v="3"/>
    <x v="9"/>
    <x v="1"/>
    <x v="9"/>
    <x v="9"/>
  </r>
  <r>
    <n v="147"/>
    <n v="12"/>
    <x v="7"/>
    <n v="1"/>
    <x v="11"/>
    <x v="2"/>
    <x v="11"/>
    <x v="99"/>
  </r>
  <r>
    <n v="148"/>
    <n v="24"/>
    <x v="58"/>
    <n v="1"/>
    <x v="23"/>
    <x v="4"/>
    <x v="23"/>
    <x v="62"/>
  </r>
  <r>
    <n v="149"/>
    <n v="7"/>
    <x v="52"/>
    <n v="1"/>
    <x v="6"/>
    <x v="1"/>
    <x v="6"/>
    <x v="100"/>
  </r>
  <r>
    <n v="150"/>
    <n v="24"/>
    <x v="69"/>
    <n v="3"/>
    <x v="23"/>
    <x v="4"/>
    <x v="23"/>
    <x v="92"/>
  </r>
  <r>
    <n v="151"/>
    <n v="23"/>
    <x v="70"/>
    <n v="1"/>
    <x v="22"/>
    <x v="4"/>
    <x v="22"/>
    <x v="22"/>
  </r>
  <r>
    <n v="152"/>
    <n v="24"/>
    <x v="27"/>
    <n v="5"/>
    <x v="23"/>
    <x v="4"/>
    <x v="23"/>
    <x v="101"/>
  </r>
  <r>
    <n v="153"/>
    <n v="4"/>
    <x v="27"/>
    <n v="4"/>
    <x v="3"/>
    <x v="0"/>
    <x v="3"/>
    <x v="67"/>
  </r>
  <r>
    <n v="154"/>
    <n v="8"/>
    <x v="49"/>
    <n v="1"/>
    <x v="7"/>
    <x v="1"/>
    <x v="7"/>
    <x v="102"/>
  </r>
  <r>
    <n v="155"/>
    <n v="11"/>
    <x v="49"/>
    <n v="4"/>
    <x v="10"/>
    <x v="2"/>
    <x v="10"/>
    <x v="83"/>
  </r>
  <r>
    <n v="156"/>
    <n v="12"/>
    <x v="71"/>
    <n v="2"/>
    <x v="11"/>
    <x v="2"/>
    <x v="11"/>
    <x v="52"/>
  </r>
  <r>
    <n v="157"/>
    <n v="16"/>
    <x v="7"/>
    <n v="1"/>
    <x v="15"/>
    <x v="3"/>
    <x v="15"/>
    <x v="90"/>
  </r>
  <r>
    <n v="158"/>
    <n v="25"/>
    <x v="23"/>
    <n v="2"/>
    <x v="24"/>
    <x v="4"/>
    <x v="24"/>
    <x v="103"/>
  </r>
  <r>
    <n v="159"/>
    <n v="13"/>
    <x v="69"/>
    <n v="2"/>
    <x v="12"/>
    <x v="2"/>
    <x v="12"/>
    <x v="25"/>
  </r>
  <r>
    <n v="160"/>
    <n v="5"/>
    <x v="55"/>
    <n v="6"/>
    <x v="4"/>
    <x v="0"/>
    <x v="4"/>
    <x v="94"/>
  </r>
  <r>
    <n v="161"/>
    <n v="15"/>
    <x v="5"/>
    <n v="4"/>
    <x v="14"/>
    <x v="2"/>
    <x v="14"/>
    <x v="48"/>
  </r>
  <r>
    <n v="162"/>
    <n v="11"/>
    <x v="8"/>
    <n v="4"/>
    <x v="10"/>
    <x v="2"/>
    <x v="10"/>
    <x v="83"/>
  </r>
  <r>
    <n v="163"/>
    <n v="14"/>
    <x v="72"/>
    <n v="4"/>
    <x v="13"/>
    <x v="2"/>
    <x v="13"/>
    <x v="71"/>
  </r>
  <r>
    <n v="164"/>
    <n v="15"/>
    <x v="72"/>
    <n v="4"/>
    <x v="14"/>
    <x v="2"/>
    <x v="14"/>
    <x v="48"/>
  </r>
  <r>
    <n v="165"/>
    <n v="5"/>
    <x v="52"/>
    <n v="7"/>
    <x v="4"/>
    <x v="0"/>
    <x v="4"/>
    <x v="104"/>
  </r>
  <r>
    <n v="166"/>
    <n v="18"/>
    <x v="72"/>
    <n v="2"/>
    <x v="17"/>
    <x v="3"/>
    <x v="17"/>
    <x v="97"/>
  </r>
  <r>
    <n v="167"/>
    <n v="3"/>
    <x v="24"/>
    <n v="2"/>
    <x v="2"/>
    <x v="0"/>
    <x v="2"/>
    <x v="84"/>
  </r>
  <r>
    <n v="168"/>
    <n v="10"/>
    <x v="67"/>
    <n v="3"/>
    <x v="9"/>
    <x v="1"/>
    <x v="9"/>
    <x v="9"/>
  </r>
  <r>
    <n v="169"/>
    <n v="25"/>
    <x v="3"/>
    <n v="8"/>
    <x v="24"/>
    <x v="4"/>
    <x v="24"/>
    <x v="105"/>
  </r>
  <r>
    <n v="170"/>
    <n v="18"/>
    <x v="73"/>
    <n v="3"/>
    <x v="17"/>
    <x v="3"/>
    <x v="17"/>
    <x v="65"/>
  </r>
  <r>
    <n v="171"/>
    <n v="16"/>
    <x v="71"/>
    <n v="4"/>
    <x v="15"/>
    <x v="3"/>
    <x v="15"/>
    <x v="15"/>
  </r>
  <r>
    <n v="172"/>
    <n v="4"/>
    <x v="50"/>
    <n v="1"/>
    <x v="3"/>
    <x v="0"/>
    <x v="3"/>
    <x v="106"/>
  </r>
  <r>
    <n v="173"/>
    <n v="25"/>
    <x v="38"/>
    <n v="6"/>
    <x v="24"/>
    <x v="4"/>
    <x v="24"/>
    <x v="56"/>
  </r>
  <r>
    <n v="174"/>
    <n v="25"/>
    <x v="74"/>
    <n v="2"/>
    <x v="24"/>
    <x v="4"/>
    <x v="24"/>
    <x v="103"/>
  </r>
  <r>
    <n v="175"/>
    <n v="6"/>
    <x v="66"/>
    <n v="3"/>
    <x v="5"/>
    <x v="1"/>
    <x v="5"/>
    <x v="107"/>
  </r>
  <r>
    <n v="176"/>
    <n v="6"/>
    <x v="6"/>
    <n v="1"/>
    <x v="5"/>
    <x v="1"/>
    <x v="5"/>
    <x v="45"/>
  </r>
  <r>
    <n v="177"/>
    <n v="20"/>
    <x v="46"/>
    <n v="2"/>
    <x v="19"/>
    <x v="3"/>
    <x v="19"/>
    <x v="19"/>
  </r>
  <r>
    <n v="178"/>
    <n v="10"/>
    <x v="53"/>
    <n v="2"/>
    <x v="9"/>
    <x v="1"/>
    <x v="9"/>
    <x v="38"/>
  </r>
  <r>
    <n v="179"/>
    <n v="22"/>
    <x v="11"/>
    <n v="2"/>
    <x v="21"/>
    <x v="4"/>
    <x v="21"/>
    <x v="108"/>
  </r>
  <r>
    <n v="180"/>
    <n v="16"/>
    <x v="48"/>
    <n v="1"/>
    <x v="15"/>
    <x v="3"/>
    <x v="15"/>
    <x v="90"/>
  </r>
  <r>
    <n v="181"/>
    <n v="12"/>
    <x v="67"/>
    <n v="5"/>
    <x v="11"/>
    <x v="2"/>
    <x v="11"/>
    <x v="109"/>
  </r>
  <r>
    <n v="182"/>
    <n v="17"/>
    <x v="8"/>
    <n v="3"/>
    <x v="16"/>
    <x v="3"/>
    <x v="16"/>
    <x v="110"/>
  </r>
  <r>
    <n v="183"/>
    <n v="5"/>
    <x v="46"/>
    <n v="3"/>
    <x v="4"/>
    <x v="0"/>
    <x v="4"/>
    <x v="73"/>
  </r>
  <r>
    <n v="184"/>
    <n v="16"/>
    <x v="75"/>
    <n v="5"/>
    <x v="15"/>
    <x v="3"/>
    <x v="15"/>
    <x v="88"/>
  </r>
  <r>
    <n v="185"/>
    <n v="5"/>
    <x v="24"/>
    <n v="5"/>
    <x v="4"/>
    <x v="0"/>
    <x v="4"/>
    <x v="35"/>
  </r>
  <r>
    <n v="186"/>
    <n v="13"/>
    <x v="43"/>
    <n v="5"/>
    <x v="12"/>
    <x v="2"/>
    <x v="12"/>
    <x v="77"/>
  </r>
  <r>
    <n v="187"/>
    <n v="10"/>
    <x v="33"/>
    <n v="2"/>
    <x v="9"/>
    <x v="1"/>
    <x v="9"/>
    <x v="38"/>
  </r>
  <r>
    <n v="188"/>
    <n v="22"/>
    <x v="0"/>
    <n v="5"/>
    <x v="21"/>
    <x v="4"/>
    <x v="21"/>
    <x v="75"/>
  </r>
  <r>
    <n v="189"/>
    <n v="12"/>
    <x v="18"/>
    <n v="6"/>
    <x v="11"/>
    <x v="2"/>
    <x v="11"/>
    <x v="111"/>
  </r>
  <r>
    <n v="190"/>
    <n v="23"/>
    <x v="49"/>
    <n v="5"/>
    <x v="22"/>
    <x v="4"/>
    <x v="22"/>
    <x v="112"/>
  </r>
  <r>
    <n v="191"/>
    <n v="19"/>
    <x v="16"/>
    <n v="4"/>
    <x v="18"/>
    <x v="3"/>
    <x v="18"/>
    <x v="46"/>
  </r>
  <r>
    <n v="192"/>
    <n v="8"/>
    <x v="74"/>
    <n v="2"/>
    <x v="7"/>
    <x v="1"/>
    <x v="7"/>
    <x v="29"/>
  </r>
  <r>
    <n v="193"/>
    <n v="25"/>
    <x v="52"/>
    <n v="5"/>
    <x v="24"/>
    <x v="4"/>
    <x v="24"/>
    <x v="113"/>
  </r>
  <r>
    <n v="194"/>
    <n v="4"/>
    <x v="34"/>
    <n v="2"/>
    <x v="3"/>
    <x v="0"/>
    <x v="3"/>
    <x v="114"/>
  </r>
  <r>
    <n v="195"/>
    <n v="23"/>
    <x v="69"/>
    <n v="2"/>
    <x v="22"/>
    <x v="4"/>
    <x v="22"/>
    <x v="115"/>
  </r>
  <r>
    <n v="196"/>
    <n v="18"/>
    <x v="42"/>
    <n v="2"/>
    <x v="17"/>
    <x v="3"/>
    <x v="17"/>
    <x v="97"/>
  </r>
  <r>
    <n v="197"/>
    <n v="1"/>
    <x v="73"/>
    <n v="10"/>
    <x v="0"/>
    <x v="0"/>
    <x v="0"/>
    <x v="55"/>
  </r>
  <r>
    <n v="198"/>
    <n v="23"/>
    <x v="17"/>
    <n v="6"/>
    <x v="22"/>
    <x v="4"/>
    <x v="22"/>
    <x v="116"/>
  </r>
  <r>
    <n v="199"/>
    <n v="20"/>
    <x v="44"/>
    <n v="1"/>
    <x v="19"/>
    <x v="3"/>
    <x v="19"/>
    <x v="72"/>
  </r>
  <r>
    <n v="200"/>
    <n v="19"/>
    <x v="9"/>
    <n v="5"/>
    <x v="18"/>
    <x v="3"/>
    <x v="18"/>
    <x v="8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n v="1"/>
    <n v="1"/>
    <x v="0"/>
    <x v="0"/>
    <n v="133"/>
  </r>
  <r>
    <n v="2"/>
    <n v="1"/>
    <x v="0"/>
    <x v="1"/>
    <n v="136"/>
  </r>
  <r>
    <n v="3"/>
    <n v="2"/>
    <x v="1"/>
    <x v="2"/>
    <n v="261"/>
  </r>
  <r>
    <n v="4"/>
    <n v="2"/>
    <x v="1"/>
    <x v="1"/>
    <n v="240"/>
  </r>
  <r>
    <n v="5"/>
    <n v="2"/>
    <x v="1"/>
    <x v="0"/>
    <n v="154"/>
  </r>
  <r>
    <n v="6"/>
    <n v="3"/>
    <x v="2"/>
    <x v="2"/>
    <n v="247"/>
  </r>
  <r>
    <n v="7"/>
    <n v="4"/>
    <x v="3"/>
    <x v="2"/>
    <n v="221"/>
  </r>
  <r>
    <n v="8"/>
    <n v="4"/>
    <x v="3"/>
    <x v="1"/>
    <n v="193"/>
  </r>
  <r>
    <n v="9"/>
    <n v="4"/>
    <x v="3"/>
    <x v="0"/>
    <n v="200"/>
  </r>
  <r>
    <n v="10"/>
    <n v="5"/>
    <x v="4"/>
    <x v="2"/>
    <n v="248"/>
  </r>
  <r>
    <n v="11"/>
    <n v="5"/>
    <x v="4"/>
    <x v="1"/>
    <n v="167"/>
  </r>
  <r>
    <n v="12"/>
    <n v="6"/>
    <x v="5"/>
    <x v="2"/>
    <n v="46"/>
  </r>
  <r>
    <n v="13"/>
    <n v="6"/>
    <x v="5"/>
    <x v="0"/>
    <n v="23"/>
  </r>
  <r>
    <n v="14"/>
    <n v="7"/>
    <x v="6"/>
    <x v="2"/>
    <n v="18"/>
  </r>
  <r>
    <n v="15"/>
    <n v="7"/>
    <x v="6"/>
    <x v="0"/>
    <n v="17"/>
  </r>
  <r>
    <n v="16"/>
    <n v="7"/>
    <x v="6"/>
    <x v="1"/>
    <n v="10"/>
  </r>
  <r>
    <n v="17"/>
    <n v="8"/>
    <x v="7"/>
    <x v="2"/>
    <n v="30"/>
  </r>
  <r>
    <n v="18"/>
    <n v="9"/>
    <x v="8"/>
    <x v="1"/>
    <n v="35"/>
  </r>
  <r>
    <n v="19"/>
    <n v="9"/>
    <x v="8"/>
    <x v="2"/>
    <n v="32"/>
  </r>
  <r>
    <n v="20"/>
    <n v="10"/>
    <x v="9"/>
    <x v="0"/>
    <n v="42"/>
  </r>
  <r>
    <n v="21"/>
    <n v="10"/>
    <x v="9"/>
    <x v="2"/>
    <n v="12"/>
  </r>
  <r>
    <n v="22"/>
    <n v="10"/>
    <x v="9"/>
    <x v="1"/>
    <n v="20"/>
  </r>
  <r>
    <n v="23"/>
    <n v="11"/>
    <x v="10"/>
    <x v="0"/>
    <n v="71"/>
  </r>
  <r>
    <n v="24"/>
    <n v="11"/>
    <x v="10"/>
    <x v="1"/>
    <n v="135"/>
  </r>
  <r>
    <n v="25"/>
    <n v="11"/>
    <x v="10"/>
    <x v="2"/>
    <n v="142"/>
  </r>
  <r>
    <n v="26"/>
    <n v="12"/>
    <x v="11"/>
    <x v="0"/>
    <n v="148"/>
  </r>
  <r>
    <n v="27"/>
    <n v="12"/>
    <x v="11"/>
    <x v="1"/>
    <n v="134"/>
  </r>
  <r>
    <n v="28"/>
    <n v="13"/>
    <x v="12"/>
    <x v="2"/>
    <n v="146"/>
  </r>
  <r>
    <n v="29"/>
    <n v="13"/>
    <x v="12"/>
    <x v="0"/>
    <n v="143"/>
  </r>
  <r>
    <n v="30"/>
    <n v="13"/>
    <x v="12"/>
    <x v="1"/>
    <n v="83"/>
  </r>
  <r>
    <n v="31"/>
    <n v="14"/>
    <x v="13"/>
    <x v="2"/>
    <n v="94"/>
  </r>
  <r>
    <n v="32"/>
    <n v="14"/>
    <x v="13"/>
    <x v="0"/>
    <n v="98"/>
  </r>
  <r>
    <n v="33"/>
    <n v="15"/>
    <x v="14"/>
    <x v="1"/>
    <n v="134"/>
  </r>
  <r>
    <n v="34"/>
    <n v="16"/>
    <x v="15"/>
    <x v="0"/>
    <n v="51"/>
  </r>
  <r>
    <n v="35"/>
    <n v="16"/>
    <x v="15"/>
    <x v="2"/>
    <n v="38"/>
  </r>
  <r>
    <n v="36"/>
    <n v="17"/>
    <x v="16"/>
    <x v="1"/>
    <n v="31"/>
  </r>
  <r>
    <n v="37"/>
    <n v="18"/>
    <x v="17"/>
    <x v="0"/>
    <n v="78"/>
  </r>
  <r>
    <n v="38"/>
    <n v="19"/>
    <x v="18"/>
    <x v="1"/>
    <n v="70"/>
  </r>
  <r>
    <n v="39"/>
    <n v="19"/>
    <x v="18"/>
    <x v="0"/>
    <n v="53"/>
  </r>
  <r>
    <n v="40"/>
    <n v="20"/>
    <x v="19"/>
    <x v="0"/>
    <n v="69"/>
  </r>
  <r>
    <n v="41"/>
    <n v="20"/>
    <x v="19"/>
    <x v="2"/>
    <n v="79"/>
  </r>
  <r>
    <n v="42"/>
    <n v="20"/>
    <x v="19"/>
    <x v="1"/>
    <n v="74"/>
  </r>
  <r>
    <n v="43"/>
    <n v="21"/>
    <x v="20"/>
    <x v="1"/>
    <n v="35"/>
  </r>
  <r>
    <n v="44"/>
    <n v="21"/>
    <x v="20"/>
    <x v="0"/>
    <n v="93"/>
  </r>
  <r>
    <n v="45"/>
    <n v="21"/>
    <x v="20"/>
    <x v="2"/>
    <n v="40"/>
  </r>
  <r>
    <n v="46"/>
    <n v="22"/>
    <x v="21"/>
    <x v="1"/>
    <n v="57"/>
  </r>
  <r>
    <n v="47"/>
    <n v="22"/>
    <x v="21"/>
    <x v="2"/>
    <n v="91"/>
  </r>
  <r>
    <n v="48"/>
    <n v="23"/>
    <x v="22"/>
    <x v="2"/>
    <n v="17"/>
  </r>
  <r>
    <n v="49"/>
    <n v="23"/>
    <x v="22"/>
    <x v="1"/>
    <n v="19"/>
  </r>
  <r>
    <n v="50"/>
    <n v="24"/>
    <x v="23"/>
    <x v="1"/>
    <n v="44"/>
  </r>
  <r>
    <n v="51"/>
    <n v="24"/>
    <x v="23"/>
    <x v="2"/>
    <n v="84"/>
  </r>
  <r>
    <n v="52"/>
    <n v="24"/>
    <x v="23"/>
    <x v="0"/>
    <n v="115"/>
  </r>
  <r>
    <n v="53"/>
    <n v="25"/>
    <x v="24"/>
    <x v="2"/>
    <n v="29"/>
  </r>
  <r>
    <n v="54"/>
    <n v="25"/>
    <x v="24"/>
    <x v="1"/>
    <n v="45"/>
  </r>
  <r>
    <n v="55"/>
    <n v="25"/>
    <x v="24"/>
    <x v="0"/>
    <n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04B360-FE44-494C-94B4-1A23F8608829}"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9" firstHeaderRow="0" firstDataRow="1" firstDataCol="1"/>
  <pivotFields count="9">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sortType="descending">
      <items count="6">
        <item x="0"/>
        <item x="2"/>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6">
    <i>
      <x v="3"/>
    </i>
    <i>
      <x/>
    </i>
    <i>
      <x v="1"/>
    </i>
    <i>
      <x v="4"/>
    </i>
    <i>
      <x v="2"/>
    </i>
    <i t="grand">
      <x/>
    </i>
  </rowItems>
  <colFields count="1">
    <field x="-2"/>
  </colFields>
  <colItems count="2">
    <i>
      <x/>
    </i>
    <i i="1">
      <x v="1"/>
    </i>
  </colItems>
  <dataFields count="2">
    <dataField name="Sum of quantity" fld="3" baseField="0" baseItem="0"/>
    <dataField name="% of Total" fld="3"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5F00E6-634C-A044-92B7-1B1761838D3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36" firstHeaderRow="1" firstDataRow="3" firstDataCol="1"/>
  <pivotFields count="9">
    <pivotField showAll="0"/>
    <pivotField showAll="0"/>
    <pivotField axis="axisCol"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axis="axisRow" showAll="0">
      <items count="26">
        <item x="10"/>
        <item x="5"/>
        <item x="16"/>
        <item x="7"/>
        <item x="23"/>
        <item x="6"/>
        <item x="19"/>
        <item x="2"/>
        <item x="24"/>
        <item x="8"/>
        <item x="18"/>
        <item x="4"/>
        <item x="21"/>
        <item x="15"/>
        <item x="12"/>
        <item x="17"/>
        <item x="13"/>
        <item x="1"/>
        <item x="3"/>
        <item x="22"/>
        <item x="20"/>
        <item x="14"/>
        <item x="11"/>
        <item x="0"/>
        <item x="9"/>
        <item t="default"/>
      </items>
    </pivotField>
    <pivotField axis="axisRow" showAll="0">
      <items count="6">
        <item x="0"/>
        <item x="2"/>
        <item x="1"/>
        <item x="4"/>
        <item x="3"/>
        <item t="default"/>
      </items>
    </pivotField>
    <pivotField showAll="0"/>
    <pivotField showAll="0"/>
    <pivotField axis="axisCol" showAll="0">
      <items count="15">
        <item h="1" sd="0" x="0"/>
        <item h="1" sd="0" x="1"/>
        <item h="1" sd="0" x="2"/>
        <item h="1" sd="0" x="3"/>
        <item h="1" sd="0" x="4"/>
        <item h="1" sd="0" x="5"/>
        <item h="1" sd="0" x="6"/>
        <item sd="0" x="7"/>
        <item sd="0" x="8"/>
        <item h="1" sd="0" x="9"/>
        <item h="1" sd="0" x="10"/>
        <item h="1" sd="0" x="11"/>
        <item h="1" sd="0" x="12"/>
        <item h="1" sd="0" x="13"/>
        <item t="default"/>
      </items>
    </pivotField>
  </pivotFields>
  <rowFields count="2">
    <field x="5"/>
    <field x="4"/>
  </rowFields>
  <rowItems count="31">
    <i>
      <x/>
    </i>
    <i r="1">
      <x v="7"/>
    </i>
    <i r="1">
      <x v="11"/>
    </i>
    <i r="1">
      <x v="17"/>
    </i>
    <i r="1">
      <x v="18"/>
    </i>
    <i r="1">
      <x v="23"/>
    </i>
    <i>
      <x v="1"/>
    </i>
    <i r="1">
      <x/>
    </i>
    <i r="1">
      <x v="14"/>
    </i>
    <i r="1">
      <x v="16"/>
    </i>
    <i r="1">
      <x v="21"/>
    </i>
    <i r="1">
      <x v="22"/>
    </i>
    <i>
      <x v="2"/>
    </i>
    <i r="1">
      <x v="1"/>
    </i>
    <i r="1">
      <x v="3"/>
    </i>
    <i r="1">
      <x v="5"/>
    </i>
    <i r="1">
      <x v="9"/>
    </i>
    <i r="1">
      <x v="24"/>
    </i>
    <i>
      <x v="3"/>
    </i>
    <i r="1">
      <x v="4"/>
    </i>
    <i r="1">
      <x v="8"/>
    </i>
    <i r="1">
      <x v="12"/>
    </i>
    <i r="1">
      <x v="19"/>
    </i>
    <i r="1">
      <x v="20"/>
    </i>
    <i>
      <x v="4"/>
    </i>
    <i r="1">
      <x v="2"/>
    </i>
    <i r="1">
      <x v="6"/>
    </i>
    <i r="1">
      <x v="10"/>
    </i>
    <i r="1">
      <x v="13"/>
    </i>
    <i r="1">
      <x v="15"/>
    </i>
    <i t="grand">
      <x/>
    </i>
  </rowItems>
  <colFields count="2">
    <field x="8"/>
    <field x="2"/>
  </colFields>
  <colItems count="3">
    <i>
      <x v="7"/>
    </i>
    <i>
      <x v="8"/>
    </i>
    <i t="grand">
      <x/>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1DB849-6901-8A4A-B833-4AC084DEC07C}"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0" firstHeaderRow="1" firstDataRow="2" firstDataCol="1"/>
  <pivotFields count="5">
    <pivotField showAll="0"/>
    <pivotField showAll="0"/>
    <pivotField axis="axisRow" showAll="0">
      <items count="26">
        <item h="1" x="10"/>
        <item x="5"/>
        <item h="1" x="16"/>
        <item x="7"/>
        <item h="1" x="23"/>
        <item h="1" x="6"/>
        <item h="1" x="19"/>
        <item h="1" x="2"/>
        <item x="24"/>
        <item h="1" x="8"/>
        <item h="1" x="18"/>
        <item h="1" x="4"/>
        <item h="1" x="21"/>
        <item h="1" x="15"/>
        <item h="1" x="12"/>
        <item h="1" x="17"/>
        <item h="1" x="13"/>
        <item h="1" x="1"/>
        <item h="1" x="3"/>
        <item h="1" x="22"/>
        <item x="20"/>
        <item h="1" x="14"/>
        <item h="1" x="11"/>
        <item x="0"/>
        <item h="1" x="9"/>
        <item t="default"/>
      </items>
    </pivotField>
    <pivotField axis="axisCol" showAll="0">
      <items count="4">
        <item x="2"/>
        <item x="1"/>
        <item x="0"/>
        <item t="default"/>
      </items>
    </pivotField>
    <pivotField dataField="1" showAll="0"/>
  </pivotFields>
  <rowFields count="1">
    <field x="2"/>
  </rowFields>
  <rowItems count="6">
    <i>
      <x v="1"/>
    </i>
    <i>
      <x v="3"/>
    </i>
    <i>
      <x v="8"/>
    </i>
    <i>
      <x v="20"/>
    </i>
    <i>
      <x v="23"/>
    </i>
    <i t="grand">
      <x/>
    </i>
  </rowItems>
  <colFields count="1">
    <field x="3"/>
  </colFields>
  <colItems count="4">
    <i>
      <x/>
    </i>
    <i>
      <x v="1"/>
    </i>
    <i>
      <x v="2"/>
    </i>
    <i t="grand">
      <x/>
    </i>
  </colItems>
  <dataFields count="1">
    <dataField name="Sum of stock_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AA042B-8795-AC4A-A0B5-B6421579EDED}"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X3:AA30" firstHeaderRow="1" firstDataRow="2" firstDataCol="1"/>
  <pivotFields count="9">
    <pivotField showAll="0"/>
    <pivotField showAll="0"/>
    <pivotField numFmtId="14" showAll="0"/>
    <pivotField dataField="1" showAll="0"/>
    <pivotField axis="axisRow" showAll="0">
      <items count="26">
        <item x="10"/>
        <item x="5"/>
        <item x="16"/>
        <item x="7"/>
        <item x="23"/>
        <item x="6"/>
        <item x="19"/>
        <item x="2"/>
        <item x="24"/>
        <item x="8"/>
        <item x="18"/>
        <item x="4"/>
        <item x="21"/>
        <item x="15"/>
        <item x="12"/>
        <item x="17"/>
        <item x="13"/>
        <item x="1"/>
        <item x="3"/>
        <item x="22"/>
        <item x="20"/>
        <item x="14"/>
        <item x="11"/>
        <item x="0"/>
        <item x="9"/>
        <item t="default"/>
      </items>
    </pivotField>
    <pivotField showAll="0"/>
    <pivotField showAll="0"/>
    <pivotField showAll="0"/>
    <pivotField axis="axisCol" showAll="0" sortType="descending" defaultSubtotal="0">
      <items count="14">
        <item x="7"/>
        <item x="8"/>
        <item h="1" x="13"/>
        <item h="1" x="0"/>
        <item h="1" x="12"/>
        <item h="1" x="11"/>
        <item h="1" x="10"/>
        <item h="1" x="9"/>
        <item h="1" x="6"/>
        <item h="1" x="5"/>
        <item h="1" x="4"/>
        <item h="1" x="3"/>
        <item h="1" x="2"/>
        <item h="1" x="1"/>
      </items>
      <autoSortScope>
        <pivotArea dataOnly="0" outline="0" fieldPosition="0">
          <references count="1">
            <reference field="4294967294" count="1" selected="0">
              <x v="0"/>
            </reference>
          </references>
        </pivotArea>
      </autoSortScope>
    </pivotField>
  </pivotFields>
  <rowFields count="1">
    <field x="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8"/>
  </colFields>
  <colItems count="3">
    <i>
      <x/>
    </i>
    <i>
      <x v="1"/>
    </i>
    <i t="grand">
      <x/>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7B761C-AD45-BF41-944D-86B53595C15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Q3:T30" firstHeaderRow="1" firstDataRow="2" firstDataCol="1"/>
  <pivotFields count="9">
    <pivotField dataField="1" showAll="0"/>
    <pivotField showAll="0"/>
    <pivotField numFmtId="14" showAll="0"/>
    <pivotField showAll="0"/>
    <pivotField axis="axisRow" showAll="0">
      <items count="26">
        <item x="10"/>
        <item x="5"/>
        <item x="16"/>
        <item x="7"/>
        <item x="23"/>
        <item x="6"/>
        <item x="19"/>
        <item x="2"/>
        <item x="24"/>
        <item x="8"/>
        <item x="18"/>
        <item x="4"/>
        <item x="21"/>
        <item x="15"/>
        <item x="12"/>
        <item x="17"/>
        <item x="13"/>
        <item x="1"/>
        <item x="3"/>
        <item x="22"/>
        <item x="20"/>
        <item x="14"/>
        <item x="11"/>
        <item x="0"/>
        <item x="9"/>
        <item t="default"/>
      </items>
    </pivotField>
    <pivotField showAll="0"/>
    <pivotField showAll="0"/>
    <pivotField showAll="0"/>
    <pivotField axis="axisCol" showAll="0" defaultSubtotal="0">
      <items count="14">
        <item h="1" x="0"/>
        <item h="1" x="1"/>
        <item h="1" x="2"/>
        <item h="1" x="3"/>
        <item h="1" x="4"/>
        <item h="1" x="5"/>
        <item h="1" x="6"/>
        <item x="7"/>
        <item x="8"/>
        <item h="1" x="9"/>
        <item h="1" x="10"/>
        <item h="1" x="11"/>
        <item h="1" x="12"/>
        <item h="1" x="13"/>
      </items>
    </pivotField>
  </pivotFields>
  <rowFields count="1">
    <field x="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8"/>
  </colFields>
  <colItems count="3">
    <i>
      <x v="7"/>
    </i>
    <i>
      <x v="8"/>
    </i>
    <i t="grand">
      <x/>
    </i>
  </colItems>
  <dataFields count="1">
    <dataField name="Count of sal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C7A411-36E7-A443-B507-E7B7735230CB}"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L10" firstHeaderRow="1" firstDataRow="2" firstDataCol="1"/>
  <pivotFields count="9">
    <pivotField dataField="1" showAll="0"/>
    <pivotField showAll="0"/>
    <pivotField numFmtId="14" showAll="0"/>
    <pivotField showAll="0"/>
    <pivotField showAll="0"/>
    <pivotField axis="axisRow" showAll="0">
      <items count="6">
        <item x="0"/>
        <item x="2"/>
        <item x="1"/>
        <item x="4"/>
        <item x="3"/>
        <item t="default"/>
      </items>
    </pivotField>
    <pivotField showAll="0"/>
    <pivotField showAll="0"/>
    <pivotField axis="axisCol" showAll="0" defaultSubtotal="0">
      <items count="14">
        <item h="1" x="0"/>
        <item h="1" x="1"/>
        <item h="1" x="2"/>
        <item h="1" x="3"/>
        <item h="1" x="4"/>
        <item h="1" x="5"/>
        <item h="1" x="6"/>
        <item x="7"/>
        <item x="8"/>
        <item h="1" x="9"/>
        <item h="1" x="10"/>
        <item h="1" x="11"/>
        <item h="1" x="12"/>
        <item h="1" x="13"/>
      </items>
    </pivotField>
  </pivotFields>
  <rowFields count="1">
    <field x="5"/>
  </rowFields>
  <rowItems count="6">
    <i>
      <x/>
    </i>
    <i>
      <x v="1"/>
    </i>
    <i>
      <x v="2"/>
    </i>
    <i>
      <x v="3"/>
    </i>
    <i>
      <x v="4"/>
    </i>
    <i t="grand">
      <x/>
    </i>
  </rowItems>
  <colFields count="1">
    <field x="8"/>
  </colFields>
  <colItems count="3">
    <i>
      <x v="7"/>
    </i>
    <i>
      <x v="8"/>
    </i>
    <i t="grand">
      <x/>
    </i>
  </colItems>
  <dataFields count="1">
    <dataField name="Count of sal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D3C8C2-6CE8-2546-B6A4-5FDEB58E74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8" firstHeaderRow="0" firstDataRow="1" firstDataCol="1"/>
  <pivotFields count="9">
    <pivotField dataField="1"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pivotField axis="axisRow" showAll="0" defaultSubtotal="0">
      <items count="14">
        <item h="1" sd="0" x="0"/>
        <item h="1" sd="0" x="1"/>
        <item h="1" sd="0" x="2"/>
        <item h="1" sd="0" x="3"/>
        <item h="1" sd="0" x="4"/>
        <item sd="0" x="5"/>
        <item sd="0" x="6"/>
        <item sd="0" x="7"/>
        <item sd="0" x="8"/>
        <item h="1" sd="0" x="9"/>
        <item h="1" sd="0" x="10"/>
        <item h="1" sd="0" x="11"/>
        <item h="1" sd="0" x="12"/>
        <item h="1" sd="0" x="13"/>
      </items>
    </pivotField>
  </pivotFields>
  <rowFields count="2">
    <field x="8"/>
    <field x="2"/>
  </rowFields>
  <rowItems count="5">
    <i>
      <x v="5"/>
    </i>
    <i>
      <x v="6"/>
    </i>
    <i>
      <x v="7"/>
    </i>
    <i>
      <x v="8"/>
    </i>
    <i t="grand">
      <x/>
    </i>
  </rowItems>
  <colFields count="1">
    <field x="-2"/>
  </colFields>
  <colItems count="2">
    <i>
      <x/>
    </i>
    <i i="1">
      <x v="1"/>
    </i>
  </colItems>
  <dataFields count="2">
    <dataField name="Count of sale_id" fld="0" subtotal="count" baseField="0" baseItem="0"/>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6C1CFA-B73E-A24B-B772-CD5077B79836}" name="PivotTable3" cacheId="0"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8">
  <location ref="H3:K10" firstHeaderRow="1" firstDataRow="2" firstDataCol="1"/>
  <pivotFields count="9">
    <pivotField showAll="0"/>
    <pivotField showAll="0"/>
    <pivotField numFmtId="14" showAll="0"/>
    <pivotField showAll="0"/>
    <pivotField showAll="0"/>
    <pivotField axis="axisRow" showAll="0">
      <items count="6">
        <item x="0"/>
        <item x="2"/>
        <item x="1"/>
        <item x="4"/>
        <item x="3"/>
        <item t="default"/>
      </items>
    </pivotField>
    <pivotField showAll="0"/>
    <pivotField dataField="1" showAll="0">
      <items count="118">
        <item x="63"/>
        <item x="31"/>
        <item x="49"/>
        <item x="16"/>
        <item x="60"/>
        <item x="72"/>
        <item x="106"/>
        <item x="110"/>
        <item x="84"/>
        <item x="1"/>
        <item x="73"/>
        <item x="36"/>
        <item x="68"/>
        <item x="19"/>
        <item x="96"/>
        <item x="59"/>
        <item x="66"/>
        <item x="114"/>
        <item x="45"/>
        <item x="34"/>
        <item x="87"/>
        <item x="35"/>
        <item x="86"/>
        <item x="78"/>
        <item x="94"/>
        <item x="95"/>
        <item x="104"/>
        <item x="10"/>
        <item x="40"/>
        <item x="18"/>
        <item x="4"/>
        <item x="90"/>
        <item x="98"/>
        <item x="67"/>
        <item x="5"/>
        <item x="64"/>
        <item x="82"/>
        <item x="27"/>
        <item x="47"/>
        <item x="2"/>
        <item x="99"/>
        <item x="97"/>
        <item x="107"/>
        <item x="53"/>
        <item x="85"/>
        <item x="62"/>
        <item x="79"/>
        <item x="80"/>
        <item x="50"/>
        <item x="0"/>
        <item x="22"/>
        <item x="51"/>
        <item x="69"/>
        <item x="3"/>
        <item x="65"/>
        <item x="58"/>
        <item x="55"/>
        <item x="108"/>
        <item x="54"/>
        <item x="71"/>
        <item x="52"/>
        <item x="93"/>
        <item x="37"/>
        <item x="91"/>
        <item x="14"/>
        <item x="8"/>
        <item x="13"/>
        <item x="83"/>
        <item x="103"/>
        <item x="17"/>
        <item x="25"/>
        <item x="46"/>
        <item x="48"/>
        <item x="21"/>
        <item x="20"/>
        <item x="115"/>
        <item x="61"/>
        <item x="32"/>
        <item x="100"/>
        <item x="15"/>
        <item x="33"/>
        <item x="81"/>
        <item x="39"/>
        <item x="102"/>
        <item x="88"/>
        <item x="11"/>
        <item x="38"/>
        <item x="92"/>
        <item x="70"/>
        <item x="41"/>
        <item x="57"/>
        <item x="75"/>
        <item x="109"/>
        <item x="24"/>
        <item x="76"/>
        <item x="111"/>
        <item x="9"/>
        <item x="42"/>
        <item x="113"/>
        <item x="28"/>
        <item x="101"/>
        <item x="77"/>
        <item x="30"/>
        <item x="112"/>
        <item x="29"/>
        <item x="56"/>
        <item x="26"/>
        <item x="12"/>
        <item x="116"/>
        <item x="43"/>
        <item x="6"/>
        <item x="74"/>
        <item x="44"/>
        <item x="105"/>
        <item x="23"/>
        <item x="89"/>
        <item x="7"/>
        <item t="default"/>
      </items>
    </pivotField>
    <pivotField axis="axisCol" showAll="0" defaultSubtotal="0">
      <items count="14">
        <item h="1" x="0"/>
        <item h="1" x="1"/>
        <item h="1" x="2"/>
        <item h="1" x="3"/>
        <item h="1" x="4"/>
        <item h="1" x="5"/>
        <item h="1" x="6"/>
        <item x="7"/>
        <item x="8"/>
        <item h="1" x="9"/>
        <item h="1" x="10"/>
        <item h="1" x="11"/>
        <item h="1" x="12"/>
        <item h="1" x="13"/>
      </items>
    </pivotField>
  </pivotFields>
  <rowFields count="1">
    <field x="5"/>
  </rowFields>
  <rowItems count="6">
    <i>
      <x/>
    </i>
    <i>
      <x v="1"/>
    </i>
    <i>
      <x v="2"/>
    </i>
    <i>
      <x v="3"/>
    </i>
    <i>
      <x v="4"/>
    </i>
    <i t="grand">
      <x/>
    </i>
  </rowItems>
  <colFields count="1">
    <field x="8"/>
  </colFields>
  <colItems count="3">
    <i>
      <x v="7"/>
    </i>
    <i>
      <x v="8"/>
    </i>
    <i t="grand">
      <x/>
    </i>
  </colItems>
  <dataFields count="1">
    <dataField name="Sum of revenue" fld="7" baseField="0" baseItem="0"/>
  </dataFields>
  <chartFormats count="10">
    <chartFormat chart="0" format="0" series="1">
      <pivotArea type="data" outline="0" fieldPosition="0">
        <references count="2">
          <reference field="4294967294" count="1" selected="0">
            <x v="0"/>
          </reference>
          <reference field="8" count="1" selected="0">
            <x v="7"/>
          </reference>
        </references>
      </pivotArea>
    </chartFormat>
    <chartFormat chart="0" format="1" series="1">
      <pivotArea type="data" outline="0" fieldPosition="0">
        <references count="2">
          <reference field="4294967294" count="1" selected="0">
            <x v="0"/>
          </reference>
          <reference field="8" count="1" selected="0">
            <x v="8"/>
          </reference>
        </references>
      </pivotArea>
    </chartFormat>
    <chartFormat chart="5" format="4" series="1">
      <pivotArea type="data" outline="0" fieldPosition="0">
        <references count="2">
          <reference field="4294967294" count="1" selected="0">
            <x v="0"/>
          </reference>
          <reference field="8" count="1" selected="0">
            <x v="7"/>
          </reference>
        </references>
      </pivotArea>
    </chartFormat>
    <chartFormat chart="5" format="5" series="1">
      <pivotArea type="data" outline="0" fieldPosition="0">
        <references count="2">
          <reference field="4294967294" count="1" selected="0">
            <x v="0"/>
          </reference>
          <reference field="8" count="1" selected="0">
            <x v="8"/>
          </reference>
        </references>
      </pivotArea>
    </chartFormat>
    <chartFormat chart="5" format="6" series="1">
      <pivotArea type="data" outline="0" fieldPosition="0">
        <references count="2">
          <reference field="4294967294" count="1" selected="0">
            <x v="0"/>
          </reference>
          <reference field="8" count="1" selected="0">
            <x v="6"/>
          </reference>
        </references>
      </pivotArea>
    </chartFormat>
    <chartFormat chart="0" format="2" series="1">
      <pivotArea type="data" outline="0" fieldPosition="0">
        <references count="2">
          <reference field="4294967294" count="1" selected="0">
            <x v="0"/>
          </reference>
          <reference field="8" count="1" selected="0">
            <x v="6"/>
          </reference>
        </references>
      </pivotArea>
    </chartFormat>
    <chartFormat chart="5" format="7" series="1">
      <pivotArea type="data" outline="0" fieldPosition="0">
        <references count="2">
          <reference field="4294967294" count="1" selected="0">
            <x v="0"/>
          </reference>
          <reference field="8" count="1" selected="0">
            <x v="5"/>
          </reference>
        </references>
      </pivotArea>
    </chartFormat>
    <chartFormat chart="0" format="3" series="1">
      <pivotArea type="data" outline="0" fieldPosition="0">
        <references count="2">
          <reference field="4294967294" count="1" selected="0">
            <x v="0"/>
          </reference>
          <reference field="8" count="1" selected="0">
            <x v="5"/>
          </reference>
        </references>
      </pivotArea>
    </chartFormat>
    <chartFormat chart="5"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4A2F7E-3F55-FE46-B0DB-67A3C27063F4}"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B6" firstHeaderRow="1" firstDataRow="1" firstDataCol="1"/>
  <pivotFields count="9">
    <pivotField showAll="0"/>
    <pivotField showAll="0"/>
    <pivotField numFmtId="14" showAll="0"/>
    <pivotField showAll="0"/>
    <pivotField showAll="0"/>
    <pivotField showAll="0"/>
    <pivotField showAll="0"/>
    <pivotField dataField="1" showAll="0">
      <items count="118">
        <item x="63"/>
        <item x="31"/>
        <item x="49"/>
        <item x="16"/>
        <item x="60"/>
        <item x="72"/>
        <item x="106"/>
        <item x="110"/>
        <item x="84"/>
        <item x="1"/>
        <item x="73"/>
        <item x="36"/>
        <item x="68"/>
        <item x="19"/>
        <item x="96"/>
        <item x="59"/>
        <item x="66"/>
        <item x="114"/>
        <item x="45"/>
        <item x="34"/>
        <item x="87"/>
        <item x="35"/>
        <item x="86"/>
        <item x="78"/>
        <item x="94"/>
        <item x="95"/>
        <item x="104"/>
        <item x="10"/>
        <item x="40"/>
        <item x="18"/>
        <item x="4"/>
        <item x="90"/>
        <item x="98"/>
        <item x="67"/>
        <item x="5"/>
        <item x="64"/>
        <item x="82"/>
        <item x="27"/>
        <item x="47"/>
        <item x="2"/>
        <item x="99"/>
        <item x="97"/>
        <item x="107"/>
        <item x="53"/>
        <item x="85"/>
        <item x="62"/>
        <item x="79"/>
        <item x="80"/>
        <item x="50"/>
        <item x="0"/>
        <item x="22"/>
        <item x="51"/>
        <item x="69"/>
        <item x="3"/>
        <item x="65"/>
        <item x="58"/>
        <item x="55"/>
        <item x="108"/>
        <item x="54"/>
        <item x="71"/>
        <item x="52"/>
        <item x="93"/>
        <item x="37"/>
        <item x="91"/>
        <item x="14"/>
        <item x="8"/>
        <item x="13"/>
        <item x="83"/>
        <item x="103"/>
        <item x="17"/>
        <item x="25"/>
        <item x="46"/>
        <item x="48"/>
        <item x="21"/>
        <item x="20"/>
        <item x="115"/>
        <item x="61"/>
        <item x="32"/>
        <item x="100"/>
        <item x="15"/>
        <item x="33"/>
        <item x="81"/>
        <item x="39"/>
        <item x="102"/>
        <item x="88"/>
        <item x="11"/>
        <item x="38"/>
        <item x="92"/>
        <item x="70"/>
        <item x="41"/>
        <item x="57"/>
        <item x="75"/>
        <item x="109"/>
        <item x="24"/>
        <item x="76"/>
        <item x="111"/>
        <item x="9"/>
        <item x="42"/>
        <item x="113"/>
        <item x="28"/>
        <item x="101"/>
        <item x="77"/>
        <item x="30"/>
        <item x="112"/>
        <item x="29"/>
        <item x="56"/>
        <item x="26"/>
        <item x="12"/>
        <item x="116"/>
        <item x="43"/>
        <item x="6"/>
        <item x="74"/>
        <item x="44"/>
        <item x="105"/>
        <item x="23"/>
        <item x="89"/>
        <item x="7"/>
        <item t="default"/>
      </items>
    </pivotField>
    <pivotField axis="axisRow" showAll="0" defaultSubtotal="0">
      <items count="14">
        <item h="1" x="0"/>
        <item h="1" x="1"/>
        <item h="1" x="2"/>
        <item h="1" x="3"/>
        <item h="1" x="4"/>
        <item h="1" x="5"/>
        <item h="1" x="6"/>
        <item x="7"/>
        <item x="8"/>
        <item h="1" x="9"/>
        <item h="1" x="10"/>
        <item h="1" x="11"/>
        <item h="1" x="12"/>
        <item h="1" x="13"/>
      </items>
    </pivotField>
  </pivotFields>
  <rowFields count="1">
    <field x="8"/>
  </rowFields>
  <rowItems count="3">
    <i>
      <x v="7"/>
    </i>
    <i>
      <x v="8"/>
    </i>
    <i t="grand">
      <x/>
    </i>
  </rowItems>
  <colItems count="1">
    <i/>
  </colItem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F6217C-1F35-8243-AF90-509C8F69F245}"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W3:Z10" firstHeaderRow="1" firstDataRow="2" firstDataCol="1"/>
  <pivotFields count="9">
    <pivotField showAll="0"/>
    <pivotField showAll="0"/>
    <pivotField numFmtId="14" showAll="0"/>
    <pivotField showAll="0"/>
    <pivotField axis="axisRow" showAll="0">
      <items count="26">
        <item h="1" x="10"/>
        <item x="5"/>
        <item h="1" x="16"/>
        <item x="7"/>
        <item h="1" x="23"/>
        <item x="6"/>
        <item h="1" x="19"/>
        <item h="1" x="2"/>
        <item x="24"/>
        <item h="1" x="8"/>
        <item h="1" x="18"/>
        <item h="1" x="4"/>
        <item h="1" x="21"/>
        <item h="1" x="15"/>
        <item h="1" x="12"/>
        <item h="1" x="17"/>
        <item h="1" x="13"/>
        <item h="1" x="1"/>
        <item h="1" x="3"/>
        <item h="1" x="22"/>
        <item x="20"/>
        <item h="1" x="14"/>
        <item h="1" x="11"/>
        <item h="1" x="0"/>
        <item h="1" x="9"/>
        <item t="default"/>
      </items>
    </pivotField>
    <pivotField showAll="0"/>
    <pivotField dataField="1" showAll="0">
      <items count="26">
        <item x="1"/>
        <item x="16"/>
        <item x="4"/>
        <item x="2"/>
        <item x="19"/>
        <item x="0"/>
        <item x="3"/>
        <item x="5"/>
        <item x="20"/>
        <item x="13"/>
        <item x="17"/>
        <item x="10"/>
        <item x="18"/>
        <item x="14"/>
        <item x="15"/>
        <item x="21"/>
        <item x="11"/>
        <item x="24"/>
        <item x="23"/>
        <item x="12"/>
        <item x="22"/>
        <item x="9"/>
        <item x="8"/>
        <item x="6"/>
        <item x="7"/>
        <item t="default"/>
      </items>
    </pivotField>
    <pivotField showAll="0"/>
    <pivotField axis="axisCol" showAll="0" defaultSubtotal="0">
      <items count="14">
        <item h="1" x="0"/>
        <item h="1" x="1"/>
        <item h="1" x="2"/>
        <item h="1" x="3"/>
        <item h="1" x="4"/>
        <item h="1" x="5"/>
        <item h="1" x="6"/>
        <item x="7"/>
        <item x="8"/>
        <item h="1" x="9"/>
        <item h="1" x="10"/>
        <item h="1" x="11"/>
        <item h="1" x="12"/>
        <item h="1" x="13"/>
      </items>
    </pivotField>
  </pivotFields>
  <rowFields count="1">
    <field x="4"/>
  </rowFields>
  <rowItems count="6">
    <i>
      <x v="1"/>
    </i>
    <i>
      <x v="3"/>
    </i>
    <i>
      <x v="5"/>
    </i>
    <i>
      <x v="8"/>
    </i>
    <i>
      <x v="20"/>
    </i>
    <i t="grand">
      <x/>
    </i>
  </rowItems>
  <colFields count="1">
    <field x="8"/>
  </colFields>
  <colItems count="3">
    <i>
      <x v="7"/>
    </i>
    <i>
      <x v="8"/>
    </i>
    <i t="grand">
      <x/>
    </i>
  </colItems>
  <dataFields count="1">
    <dataField name="Average of unit_price"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59BD7F-EE74-D44D-8A81-DFD1CDB4F165}"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P3:S17" firstHeaderRow="1" firstDataRow="2" firstDataCol="1"/>
  <pivotFields count="9">
    <pivotField showAll="0"/>
    <pivotField showAll="0"/>
    <pivotField numFmtId="14" showAll="0"/>
    <pivotField showAll="0"/>
    <pivotField axis="axisRow" showAll="0">
      <items count="26">
        <item x="10"/>
        <item x="5"/>
        <item x="16"/>
        <item x="7"/>
        <item x="23"/>
        <item x="6"/>
        <item x="19"/>
        <item x="2"/>
        <item x="24"/>
        <item x="8"/>
        <item x="18"/>
        <item x="4"/>
        <item x="21"/>
        <item x="15"/>
        <item x="12"/>
        <item x="17"/>
        <item x="13"/>
        <item x="1"/>
        <item x="3"/>
        <item x="22"/>
        <item x="20"/>
        <item x="14"/>
        <item x="11"/>
        <item x="0"/>
        <item x="9"/>
        <item t="default"/>
      </items>
    </pivotField>
    <pivotField axis="axisRow" showAll="0">
      <items count="6">
        <item h="1" x="0"/>
        <item h="1" x="2"/>
        <item x="1"/>
        <item x="4"/>
        <item h="1" x="3"/>
        <item t="default"/>
      </items>
    </pivotField>
    <pivotField showAll="0"/>
    <pivotField dataField="1" showAll="0">
      <items count="118">
        <item x="63"/>
        <item x="31"/>
        <item x="49"/>
        <item x="16"/>
        <item x="60"/>
        <item x="72"/>
        <item x="106"/>
        <item x="110"/>
        <item x="84"/>
        <item x="1"/>
        <item x="73"/>
        <item x="36"/>
        <item x="68"/>
        <item x="19"/>
        <item x="96"/>
        <item x="59"/>
        <item x="66"/>
        <item x="114"/>
        <item x="45"/>
        <item x="34"/>
        <item x="87"/>
        <item x="35"/>
        <item x="86"/>
        <item x="78"/>
        <item x="94"/>
        <item x="95"/>
        <item x="104"/>
        <item x="10"/>
        <item x="40"/>
        <item x="18"/>
        <item x="4"/>
        <item x="90"/>
        <item x="98"/>
        <item x="67"/>
        <item x="5"/>
        <item x="64"/>
        <item x="82"/>
        <item x="27"/>
        <item x="47"/>
        <item x="2"/>
        <item x="99"/>
        <item x="97"/>
        <item x="107"/>
        <item x="53"/>
        <item x="85"/>
        <item x="62"/>
        <item x="79"/>
        <item x="80"/>
        <item x="50"/>
        <item x="0"/>
        <item x="22"/>
        <item x="51"/>
        <item x="69"/>
        <item x="3"/>
        <item x="65"/>
        <item x="58"/>
        <item x="55"/>
        <item x="108"/>
        <item x="54"/>
        <item x="71"/>
        <item x="52"/>
        <item x="93"/>
        <item x="37"/>
        <item x="91"/>
        <item x="14"/>
        <item x="8"/>
        <item x="13"/>
        <item x="83"/>
        <item x="103"/>
        <item x="17"/>
        <item x="25"/>
        <item x="46"/>
        <item x="48"/>
        <item x="21"/>
        <item x="20"/>
        <item x="115"/>
        <item x="61"/>
        <item x="32"/>
        <item x="100"/>
        <item x="15"/>
        <item x="33"/>
        <item x="81"/>
        <item x="39"/>
        <item x="102"/>
        <item x="88"/>
        <item x="11"/>
        <item x="38"/>
        <item x="92"/>
        <item x="70"/>
        <item x="41"/>
        <item x="57"/>
        <item x="75"/>
        <item x="109"/>
        <item x="24"/>
        <item x="76"/>
        <item x="111"/>
        <item x="9"/>
        <item x="42"/>
        <item x="113"/>
        <item x="28"/>
        <item x="101"/>
        <item x="77"/>
        <item x="30"/>
        <item x="112"/>
        <item x="29"/>
        <item x="56"/>
        <item x="26"/>
        <item x="12"/>
        <item x="116"/>
        <item x="43"/>
        <item x="6"/>
        <item x="74"/>
        <item x="44"/>
        <item x="105"/>
        <item x="23"/>
        <item x="89"/>
        <item x="7"/>
        <item t="default"/>
      </items>
    </pivotField>
    <pivotField axis="axisCol" showAll="0" defaultSubtotal="0">
      <items count="14">
        <item h="1" x="0"/>
        <item h="1" x="1"/>
        <item h="1" x="2"/>
        <item h="1" x="3"/>
        <item h="1" x="4"/>
        <item h="1" x="5"/>
        <item h="1" x="6"/>
        <item x="7"/>
        <item x="8"/>
        <item h="1" x="9"/>
        <item h="1" x="10"/>
        <item h="1" x="11"/>
        <item h="1" x="12"/>
        <item h="1" x="13"/>
      </items>
    </pivotField>
  </pivotFields>
  <rowFields count="2">
    <field x="5"/>
    <field x="4"/>
  </rowFields>
  <rowItems count="13">
    <i>
      <x v="2"/>
    </i>
    <i r="1">
      <x v="1"/>
    </i>
    <i r="1">
      <x v="3"/>
    </i>
    <i r="1">
      <x v="5"/>
    </i>
    <i r="1">
      <x v="9"/>
    </i>
    <i r="1">
      <x v="24"/>
    </i>
    <i>
      <x v="3"/>
    </i>
    <i r="1">
      <x v="4"/>
    </i>
    <i r="1">
      <x v="8"/>
    </i>
    <i r="1">
      <x v="12"/>
    </i>
    <i r="1">
      <x v="19"/>
    </i>
    <i r="1">
      <x v="20"/>
    </i>
    <i t="grand">
      <x/>
    </i>
  </rowItems>
  <colFields count="1">
    <field x="8"/>
  </colFields>
  <colItems count="3">
    <i>
      <x v="7"/>
    </i>
    <i>
      <x v="8"/>
    </i>
    <i t="grand">
      <x/>
    </i>
  </colItem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D694A4EE-CD50-F842-8DBF-B73DE73EDDD6}"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supplier_id" tableColumnId="4"/>
      <queryTableField id="5" name="unit_pric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8D2DB89-A8DD-8947-AE85-A6DE8FC8B5EC}" autoFormatId="16" applyNumberFormats="0" applyBorderFormats="0" applyFontFormats="0" applyPatternFormats="0" applyAlignmentFormats="0" applyWidthHeightFormats="0">
  <queryTableRefresh nextId="12">
    <queryTableFields count="11">
      <queryTableField id="1" name="sale_id" tableColumnId="1"/>
      <queryTableField id="2" name="product_id" tableColumnId="2"/>
      <queryTableField id="3" name="sale_date" tableColumnId="3"/>
      <queryTableField id="4" name="quantity" tableColumnId="4"/>
      <queryTableField id="5" name="product_name" tableColumnId="5"/>
      <queryTableField id="6" name="category" tableColumnId="6"/>
      <queryTableField id="7" name="unit_price" tableColumnId="7"/>
      <queryTableField id="8" name="revenue" tableColumnId="8"/>
      <queryTableField id="9" name="Calculated Revenue" tableColumnId="9"/>
      <queryTableField id="10" name="Revenue Check" tableColumnId="10"/>
      <queryTableField id="11" name="Revenue Statu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CDAA404-2248-194C-AA36-10CDD1D15C2B}" sourceName="category">
  <pivotTables>
    <pivotTable tabId="8" name="PivotTable3"/>
  </pivotTables>
  <data>
    <tabular pivotCacheId="2018203821">
      <items count="5">
        <i x="0" s="1"/>
        <i x="2"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134CD30-7E97-AC4B-A079-84DE0E256E56}" cache="Slicer_category" caption="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1DACCE6-30F4-064B-AB59-11F64D95405E}" cache="Slicer_category" caption="Category Filter"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6289A37-8D02-474C-8C46-8E4A5D1A9C69}" name="ProductsTable_1" displayName="ProductsTable_1" ref="A1:E26" tableType="queryTable" totalsRowShown="0">
  <autoFilter ref="A1:E26" xr:uid="{06289A37-8D02-474C-8C46-8E4A5D1A9C69}"/>
  <tableColumns count="5">
    <tableColumn id="1" xr3:uid="{F66516DF-5F02-E94B-AB89-0D1AA514FB11}" uniqueName="1" name="product_id" queryTableFieldId="1"/>
    <tableColumn id="2" xr3:uid="{9DEC94C4-7C89-7540-A96B-81D130F905BF}" uniqueName="2" name="product_name" queryTableFieldId="2" dataDxfId="14"/>
    <tableColumn id="3" xr3:uid="{4B61CBE3-E02E-BF46-88F9-C01EF91CE0CC}" uniqueName="3" name="category" queryTableFieldId="3" dataDxfId="13"/>
    <tableColumn id="4" xr3:uid="{ED5384B9-B833-8344-A010-1F57485895AB}" uniqueName="4" name="supplier_id" queryTableFieldId="4"/>
    <tableColumn id="5" xr3:uid="{A5CD2BA5-16B1-4D45-94A5-DEAC87B88EB4}" uniqueName="5" name="unit_price"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AE3DC00-2984-7649-8383-1FBF9E495774}" name="SalesTable_Clean" displayName="SalesTable_Clean" ref="A1:K36" tableType="queryTable" totalsRowShown="0">
  <autoFilter ref="A1:K36" xr:uid="{1AE3DC00-2984-7649-8383-1FBF9E495774}"/>
  <tableColumns count="11">
    <tableColumn id="1" xr3:uid="{424A84FC-8D33-B249-B6DE-FA78A5FB0E86}" uniqueName="1" name="sale_id" queryTableFieldId="1"/>
    <tableColumn id="2" xr3:uid="{A15D5572-4605-C44F-B7F6-3828A14858D9}" uniqueName="2" name="product_id" queryTableFieldId="2"/>
    <tableColumn id="3" xr3:uid="{D9CB553B-C866-2149-970B-CE7C3B3775B0}" uniqueName="3" name="sale_date" queryTableFieldId="3" dataDxfId="12"/>
    <tableColumn id="4" xr3:uid="{CB644284-2F62-2B48-BC9B-F5D80558A036}" uniqueName="4" name="quantity" queryTableFieldId="4"/>
    <tableColumn id="5" xr3:uid="{F183DE28-5781-CF4F-9BC2-459F11B77708}" uniqueName="5" name="product_name" queryTableFieldId="5" dataDxfId="11"/>
    <tableColumn id="6" xr3:uid="{64DF4750-FF02-F742-A96D-CA542629FB58}" uniqueName="6" name="category" queryTableFieldId="6" dataDxfId="10"/>
    <tableColumn id="7" xr3:uid="{9E5FFB74-6EE0-D442-A4E5-B6D5FF805B4A}" uniqueName="7" name="unit_price" queryTableFieldId="7"/>
    <tableColumn id="8" xr3:uid="{3F22536D-8739-584A-93F3-89211586370F}" uniqueName="8" name="revenue" queryTableFieldId="8"/>
    <tableColumn id="9" xr3:uid="{A75E871D-98D7-ED45-994C-F0EA6261BFB6}" uniqueName="9" name="Calculated Revenue" queryTableFieldId="9"/>
    <tableColumn id="10" xr3:uid="{82CAC361-0F0C-5047-A96A-EA3D73ED11D1}" uniqueName="10" name="Revenue Check" queryTableFieldId="10"/>
    <tableColumn id="11" xr3:uid="{E534FD0D-3FF8-DB42-9EBE-3A8A700887F8}" uniqueName="11" name="Revenue Status" queryTableField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57FCBF-EB5D-6743-A418-E7BB54956A75}" name="SalesTable" displayName="SalesTable" ref="A1:H201" totalsRowShown="0">
  <autoFilter ref="A1:H201" xr:uid="{7785E0E3-9113-DD45-9844-9CDAEDAF7364}"/>
  <tableColumns count="8">
    <tableColumn id="1" xr3:uid="{4DF8BA3C-8CE6-8540-9777-3EF092F8333B}" name="sale_id"/>
    <tableColumn id="2" xr3:uid="{ACB26950-0B1C-A748-8DE1-70A404873911}" name="product_id"/>
    <tableColumn id="3" xr3:uid="{6A7C55BC-911A-9E43-8591-E90F1212D0E3}" name="sale_date" dataDxfId="9"/>
    <tableColumn id="4" xr3:uid="{FE1AFB6E-4B96-4241-96D4-7B6E7B8A4F59}" name="quantity"/>
    <tableColumn id="5" xr3:uid="{FF4BABE3-72A6-B848-A797-627B06BE0C64}" name="product_name" dataDxfId="8">
      <calculatedColumnFormula>_xlfn.XLOOKUP(SalesTable[[#This Row],[product_id]],ProductsTable[product_id],ProductsTable[product_name],"Not Found")</calculatedColumnFormula>
    </tableColumn>
    <tableColumn id="6" xr3:uid="{926089C1-D5F6-9D43-89B5-16778BC67EA3}" name="category" dataDxfId="7">
      <calculatedColumnFormula>_xlfn.XLOOKUP(SalesTable[[#This Row],[product_id]],ProductsTable[product_id],ProductsTable[category],"Not Found")</calculatedColumnFormula>
    </tableColumn>
    <tableColumn id="7" xr3:uid="{8A4F9D4E-62D5-3E4B-ABEB-A4119ED6C429}" name="unit_price" dataDxfId="6">
      <calculatedColumnFormula>_xlfn.XLOOKUP(VALUE(SalesTable[[#This Row],[product_id]]),ProductsTable[product_id],ProductsTable[unit_price],"Not Found")</calculatedColumnFormula>
    </tableColumn>
    <tableColumn id="8" xr3:uid="{A5C175CB-8079-6A4D-B538-F851CF47DE2F}" name="revenue" dataDxfId="5">
      <calculatedColumnFormula>SalesTable[[#This Row],[quantity]]*SalesTable[[#This Row],[unit_price]]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530AEE-CF30-9044-99DD-6ABD4716E805}" name="ProductsTable" displayName="ProductsTable" ref="A1:E26" totalsRowShown="0">
  <autoFilter ref="A1:E26" xr:uid="{2F352993-C371-0743-94AF-C5FC34A79C8D}"/>
  <tableColumns count="5">
    <tableColumn id="1" xr3:uid="{246EA497-D4C0-6B40-A4B5-3C9359B984A0}" name="product_id"/>
    <tableColumn id="2" xr3:uid="{97B63454-7660-7241-92B3-A2C5767FD35D}" name="product_name"/>
    <tableColumn id="3" xr3:uid="{66B28C04-39EB-D74C-9AE0-7E220DFE353A}" name="category"/>
    <tableColumn id="4" xr3:uid="{FD2C6C12-3F14-D647-9AB7-3928BB59C193}" name="supplier_id"/>
    <tableColumn id="5" xr3:uid="{4C470248-009D-FC46-B790-3465C89B0F6F}" name="unit_pri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49F027-10C5-B044-A512-36DD20C7858F}" name="InventoryTable" displayName="InventoryTable" ref="A1:E56" totalsRowShown="0">
  <autoFilter ref="A1:E56" xr:uid="{3829619D-3A10-3C46-9E7D-FCD610F1B4CA}"/>
  <tableColumns count="5">
    <tableColumn id="1" xr3:uid="{16D2972B-DC16-CD42-9325-A786AFA16231}" name="inventory_id"/>
    <tableColumn id="2" xr3:uid="{F785B7D6-FE4C-5546-A2F0-5A834BA7C5E6}" name="product_id"/>
    <tableColumn id="5" xr3:uid="{9F7DC92F-096E-7247-9AA9-5EA3BAF8E579}" name="product_name" dataDxfId="4">
      <calculatedColumnFormula>_xlfn.XLOOKUP(VALUE(InventoryTable[[#This Row],[product_id]]),ProductsTable[product_id],ProductsTable[product_name],"Not Found")</calculatedColumnFormula>
    </tableColumn>
    <tableColumn id="3" xr3:uid="{0FFE4272-6617-7C4A-83F1-165F58CFF8EC}" name="warehouse"/>
    <tableColumn id="4" xr3:uid="{EB176A61-9A3B-8945-A74E-DAD653728536}" name="stock_quantity"/>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BE6C22-5CF7-B34D-8B13-0AD2B19EC42F}" name="Table4" displayName="Table4" ref="AC2:AE12" totalsRowShown="0" headerRowDxfId="3">
  <autoFilter ref="AC2:AE12" xr:uid="{0BBE6C22-5CF7-B34D-8B13-0AD2B19EC42F}"/>
  <sortState xmlns:xlrd2="http://schemas.microsoft.com/office/spreadsheetml/2017/richdata2" ref="AC3:AE12">
    <sortCondition descending="1" ref="AE2:AE12"/>
  </sortState>
  <tableColumns count="3">
    <tableColumn id="1" xr3:uid="{14B34231-8D97-1243-802C-A8D53649F87E}" name="Product"/>
    <tableColumn id="2" xr3:uid="{86ADBFD5-0961-3F4B-BCBC-A30F7254EAD5}" name="July"/>
    <tableColumn id="3" xr3:uid="{C0AB8BC2-6B11-B04B-A090-004B9B246ED5}" name="Augus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microsoft.com/office/2007/relationships/slicer" Target="../slicers/slicer1.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table" Target="../tables/table6.xml"/><Relationship Id="rId5" Type="http://schemas.openxmlformats.org/officeDocument/2006/relationships/drawing" Target="../drawings/drawing1.xml"/><Relationship Id="rId4"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54913-1D2B-144C-9E00-C8F893B85D1F}">
  <dimension ref="A1:E26"/>
  <sheetViews>
    <sheetView workbookViewId="0"/>
  </sheetViews>
  <sheetFormatPr baseColWidth="10" defaultRowHeight="16" x14ac:dyDescent="0.2"/>
  <cols>
    <col min="1" max="1" width="12.33203125" bestFit="1" customWidth="1"/>
    <col min="2" max="2" width="19" bestFit="1" customWidth="1"/>
    <col min="4" max="4" width="12.6640625" bestFit="1" customWidth="1"/>
    <col min="5" max="5" width="11.83203125" bestFit="1" customWidth="1"/>
  </cols>
  <sheetData>
    <row r="1" spans="1:5" x14ac:dyDescent="0.2">
      <c r="A1" t="s">
        <v>1</v>
      </c>
      <c r="B1" t="s">
        <v>4</v>
      </c>
      <c r="C1" t="s">
        <v>5</v>
      </c>
      <c r="D1" t="s">
        <v>6</v>
      </c>
      <c r="E1" t="s">
        <v>7</v>
      </c>
    </row>
    <row r="2" spans="1:5" x14ac:dyDescent="0.2">
      <c r="A2">
        <v>1</v>
      </c>
      <c r="B2" t="s">
        <v>8</v>
      </c>
      <c r="C2" t="s">
        <v>9</v>
      </c>
      <c r="D2">
        <v>1</v>
      </c>
      <c r="E2">
        <v>62.84</v>
      </c>
    </row>
    <row r="3" spans="1:5" x14ac:dyDescent="0.2">
      <c r="A3">
        <v>2</v>
      </c>
      <c r="B3" t="s">
        <v>10</v>
      </c>
      <c r="C3" t="s">
        <v>9</v>
      </c>
      <c r="D3">
        <v>2</v>
      </c>
      <c r="E3">
        <v>17.239999999999998</v>
      </c>
    </row>
    <row r="4" spans="1:5" x14ac:dyDescent="0.2">
      <c r="A4">
        <v>3</v>
      </c>
      <c r="B4" t="s">
        <v>11</v>
      </c>
      <c r="C4" t="s">
        <v>9</v>
      </c>
      <c r="D4">
        <v>3</v>
      </c>
      <c r="E4">
        <v>38.270000000000003</v>
      </c>
    </row>
    <row r="5" spans="1:5" x14ac:dyDescent="0.2">
      <c r="A5">
        <v>4</v>
      </c>
      <c r="B5" t="s">
        <v>12</v>
      </c>
      <c r="C5" t="s">
        <v>9</v>
      </c>
      <c r="D5">
        <v>4</v>
      </c>
      <c r="E5">
        <v>71.17</v>
      </c>
    </row>
    <row r="6" spans="1:5" x14ac:dyDescent="0.2">
      <c r="A6">
        <v>5</v>
      </c>
      <c r="B6" t="s">
        <v>13</v>
      </c>
      <c r="C6" t="s">
        <v>9</v>
      </c>
      <c r="D6">
        <v>5</v>
      </c>
      <c r="E6">
        <v>31.46</v>
      </c>
    </row>
    <row r="7" spans="1:5" x14ac:dyDescent="0.2">
      <c r="A7">
        <v>6</v>
      </c>
      <c r="B7" t="s">
        <v>14</v>
      </c>
      <c r="C7" t="s">
        <v>15</v>
      </c>
      <c r="D7">
        <v>6</v>
      </c>
      <c r="E7">
        <v>146.37</v>
      </c>
    </row>
    <row r="8" spans="1:5" x14ac:dyDescent="0.2">
      <c r="A8">
        <v>7</v>
      </c>
      <c r="B8" t="s">
        <v>16</v>
      </c>
      <c r="C8" t="s">
        <v>15</v>
      </c>
      <c r="D8">
        <v>7</v>
      </c>
      <c r="E8">
        <v>1107.2</v>
      </c>
    </row>
    <row r="9" spans="1:5" x14ac:dyDescent="0.2">
      <c r="A9">
        <v>8</v>
      </c>
      <c r="B9" t="s">
        <v>17</v>
      </c>
      <c r="C9" t="s">
        <v>15</v>
      </c>
      <c r="D9">
        <v>8</v>
      </c>
      <c r="E9">
        <v>1387.44</v>
      </c>
    </row>
    <row r="10" spans="1:5" x14ac:dyDescent="0.2">
      <c r="A10">
        <v>9</v>
      </c>
      <c r="B10" t="s">
        <v>18</v>
      </c>
      <c r="C10" t="s">
        <v>15</v>
      </c>
      <c r="D10">
        <v>9</v>
      </c>
      <c r="E10">
        <v>844.86</v>
      </c>
    </row>
    <row r="11" spans="1:5" x14ac:dyDescent="0.2">
      <c r="A11">
        <v>10</v>
      </c>
      <c r="B11" t="s">
        <v>19</v>
      </c>
      <c r="C11" t="s">
        <v>15</v>
      </c>
      <c r="D11">
        <v>10</v>
      </c>
      <c r="E11">
        <v>718.81</v>
      </c>
    </row>
    <row r="12" spans="1:5" x14ac:dyDescent="0.2">
      <c r="A12">
        <v>11</v>
      </c>
      <c r="B12" t="s">
        <v>20</v>
      </c>
      <c r="C12" t="s">
        <v>21</v>
      </c>
      <c r="D12">
        <v>10</v>
      </c>
      <c r="E12">
        <v>233.04</v>
      </c>
    </row>
    <row r="13" spans="1:5" x14ac:dyDescent="0.2">
      <c r="A13">
        <v>12</v>
      </c>
      <c r="B13" t="s">
        <v>22</v>
      </c>
      <c r="C13" t="s">
        <v>21</v>
      </c>
      <c r="D13">
        <v>1</v>
      </c>
      <c r="E13">
        <v>358.79</v>
      </c>
    </row>
    <row r="14" spans="1:5" x14ac:dyDescent="0.2">
      <c r="A14">
        <v>13</v>
      </c>
      <c r="B14" t="s">
        <v>23</v>
      </c>
      <c r="C14" t="s">
        <v>21</v>
      </c>
      <c r="D14">
        <v>4</v>
      </c>
      <c r="E14">
        <v>487.7</v>
      </c>
    </row>
    <row r="15" spans="1:5" x14ac:dyDescent="0.2">
      <c r="A15">
        <v>14</v>
      </c>
      <c r="B15" t="s">
        <v>24</v>
      </c>
      <c r="C15" t="s">
        <v>21</v>
      </c>
      <c r="D15">
        <v>10</v>
      </c>
      <c r="E15">
        <v>176.19</v>
      </c>
    </row>
    <row r="16" spans="1:5" x14ac:dyDescent="0.2">
      <c r="A16">
        <v>15</v>
      </c>
      <c r="B16" t="s">
        <v>25</v>
      </c>
      <c r="C16" t="s">
        <v>21</v>
      </c>
      <c r="D16">
        <v>9</v>
      </c>
      <c r="E16">
        <v>250.32</v>
      </c>
    </row>
    <row r="17" spans="1:5" x14ac:dyDescent="0.2">
      <c r="A17">
        <v>16</v>
      </c>
      <c r="B17" t="s">
        <v>26</v>
      </c>
      <c r="C17" t="s">
        <v>27</v>
      </c>
      <c r="D17">
        <v>1</v>
      </c>
      <c r="E17">
        <v>282.3</v>
      </c>
    </row>
    <row r="18" spans="1:5" x14ac:dyDescent="0.2">
      <c r="A18">
        <v>17</v>
      </c>
      <c r="B18" t="s">
        <v>28</v>
      </c>
      <c r="C18" t="s">
        <v>27</v>
      </c>
      <c r="D18">
        <v>9</v>
      </c>
      <c r="E18">
        <v>25.28</v>
      </c>
    </row>
    <row r="19" spans="1:5" x14ac:dyDescent="0.2">
      <c r="A19">
        <v>18</v>
      </c>
      <c r="B19" t="s">
        <v>29</v>
      </c>
      <c r="C19" t="s">
        <v>27</v>
      </c>
      <c r="D19">
        <v>4</v>
      </c>
      <c r="E19">
        <v>191.24</v>
      </c>
    </row>
    <row r="20" spans="1:5" x14ac:dyDescent="0.2">
      <c r="A20">
        <v>19</v>
      </c>
      <c r="B20" t="s">
        <v>30</v>
      </c>
      <c r="C20" t="s">
        <v>27</v>
      </c>
      <c r="D20">
        <v>2</v>
      </c>
      <c r="E20">
        <v>250.25</v>
      </c>
    </row>
    <row r="21" spans="1:5" x14ac:dyDescent="0.2">
      <c r="A21">
        <v>20</v>
      </c>
      <c r="B21" t="s">
        <v>31</v>
      </c>
      <c r="C21" t="s">
        <v>27</v>
      </c>
      <c r="D21">
        <v>9</v>
      </c>
      <c r="E21">
        <v>62.2</v>
      </c>
    </row>
    <row r="22" spans="1:5" x14ac:dyDescent="0.2">
      <c r="A22">
        <v>21</v>
      </c>
      <c r="B22" t="s">
        <v>32</v>
      </c>
      <c r="C22" t="s">
        <v>33</v>
      </c>
      <c r="D22">
        <v>9</v>
      </c>
      <c r="E22">
        <v>147.08000000000001</v>
      </c>
    </row>
    <row r="23" spans="1:5" x14ac:dyDescent="0.2">
      <c r="A23">
        <v>22</v>
      </c>
      <c r="B23" t="s">
        <v>34</v>
      </c>
      <c r="C23" t="s">
        <v>33</v>
      </c>
      <c r="D23">
        <v>6</v>
      </c>
      <c r="E23">
        <v>341.92</v>
      </c>
    </row>
    <row r="24" spans="1:5" x14ac:dyDescent="0.2">
      <c r="A24">
        <v>23</v>
      </c>
      <c r="B24" t="s">
        <v>35</v>
      </c>
      <c r="C24" t="s">
        <v>33</v>
      </c>
      <c r="D24">
        <v>10</v>
      </c>
      <c r="E24">
        <v>519.54999999999995</v>
      </c>
    </row>
    <row r="25" spans="1:5" x14ac:dyDescent="0.2">
      <c r="A25">
        <v>24</v>
      </c>
      <c r="B25" t="s">
        <v>36</v>
      </c>
      <c r="C25" t="s">
        <v>33</v>
      </c>
      <c r="D25">
        <v>7</v>
      </c>
      <c r="E25">
        <v>486.94</v>
      </c>
    </row>
    <row r="26" spans="1:5" x14ac:dyDescent="0.2">
      <c r="A26">
        <v>25</v>
      </c>
      <c r="B26" t="s">
        <v>37</v>
      </c>
      <c r="C26" t="s">
        <v>33</v>
      </c>
      <c r="D26">
        <v>7</v>
      </c>
      <c r="E26">
        <v>472.01</v>
      </c>
    </row>
  </sheetData>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1EF77-CED8-934D-BC69-B78D8A6AB8FA}">
  <dimension ref="A1:K36"/>
  <sheetViews>
    <sheetView workbookViewId="0">
      <selection activeCell="K14" sqref="K14"/>
    </sheetView>
  </sheetViews>
  <sheetFormatPr baseColWidth="10" defaultRowHeight="16" x14ac:dyDescent="0.2"/>
  <cols>
    <col min="1" max="1" width="9.5" bestFit="1" customWidth="1"/>
    <col min="2" max="2" width="12.33203125" bestFit="1" customWidth="1"/>
    <col min="3" max="3" width="11.6640625" bestFit="1" customWidth="1"/>
    <col min="4" max="4" width="10.5" bestFit="1" customWidth="1"/>
    <col min="5" max="5" width="16.33203125" bestFit="1" customWidth="1"/>
    <col min="7" max="7" width="11.83203125" bestFit="1" customWidth="1"/>
    <col min="8" max="8" width="10.33203125" bestFit="1" customWidth="1"/>
    <col min="9" max="9" width="20" bestFit="1" customWidth="1"/>
    <col min="10" max="10" width="16.1640625" bestFit="1" customWidth="1"/>
    <col min="11" max="11" width="16.5" bestFit="1" customWidth="1"/>
  </cols>
  <sheetData>
    <row r="1" spans="1:11" x14ac:dyDescent="0.2">
      <c r="A1" t="s">
        <v>0</v>
      </c>
      <c r="B1" t="s">
        <v>1</v>
      </c>
      <c r="C1" t="s">
        <v>2</v>
      </c>
      <c r="D1" t="s">
        <v>3</v>
      </c>
      <c r="E1" t="s">
        <v>4</v>
      </c>
      <c r="F1" t="s">
        <v>5</v>
      </c>
      <c r="G1" t="s">
        <v>7</v>
      </c>
      <c r="H1" t="s">
        <v>64</v>
      </c>
      <c r="I1" t="s">
        <v>79</v>
      </c>
      <c r="J1" t="s">
        <v>80</v>
      </c>
      <c r="K1" t="s">
        <v>81</v>
      </c>
    </row>
    <row r="2" spans="1:11" x14ac:dyDescent="0.2">
      <c r="A2">
        <v>6</v>
      </c>
      <c r="B2">
        <v>6</v>
      </c>
      <c r="C2" s="1">
        <v>46179</v>
      </c>
      <c r="D2">
        <v>2</v>
      </c>
      <c r="E2" t="s">
        <v>14</v>
      </c>
      <c r="F2" t="s">
        <v>82</v>
      </c>
      <c r="G2">
        <v>146.37</v>
      </c>
      <c r="H2">
        <v>292.74</v>
      </c>
      <c r="I2">
        <v>292.74</v>
      </c>
      <c r="J2" t="s">
        <v>83</v>
      </c>
      <c r="K2" t="s">
        <v>84</v>
      </c>
    </row>
    <row r="3" spans="1:11" x14ac:dyDescent="0.2">
      <c r="A3">
        <v>48</v>
      </c>
      <c r="B3">
        <v>6</v>
      </c>
      <c r="C3" s="1">
        <v>46223</v>
      </c>
      <c r="D3">
        <v>2</v>
      </c>
      <c r="E3" t="s">
        <v>14</v>
      </c>
      <c r="F3" t="s">
        <v>82</v>
      </c>
      <c r="G3">
        <v>146.37</v>
      </c>
      <c r="H3">
        <v>292.74</v>
      </c>
      <c r="I3">
        <v>292.74</v>
      </c>
      <c r="J3" t="s">
        <v>83</v>
      </c>
      <c r="K3" t="s">
        <v>84</v>
      </c>
    </row>
    <row r="4" spans="1:11" x14ac:dyDescent="0.2">
      <c r="A4">
        <v>50</v>
      </c>
      <c r="B4">
        <v>6</v>
      </c>
      <c r="C4" s="1">
        <v>46233</v>
      </c>
      <c r="D4">
        <v>1</v>
      </c>
      <c r="E4" t="s">
        <v>14</v>
      </c>
      <c r="F4" t="s">
        <v>82</v>
      </c>
      <c r="G4">
        <v>146.37</v>
      </c>
      <c r="H4">
        <v>146.37</v>
      </c>
      <c r="I4">
        <v>146.37</v>
      </c>
      <c r="J4" t="s">
        <v>83</v>
      </c>
      <c r="K4" t="s">
        <v>84</v>
      </c>
    </row>
    <row r="5" spans="1:11" x14ac:dyDescent="0.2">
      <c r="A5">
        <v>109</v>
      </c>
      <c r="B5">
        <v>6</v>
      </c>
      <c r="C5" s="1">
        <v>46176</v>
      </c>
      <c r="D5">
        <v>2</v>
      </c>
      <c r="E5" t="s">
        <v>14</v>
      </c>
      <c r="F5" t="s">
        <v>82</v>
      </c>
      <c r="G5">
        <v>146.37</v>
      </c>
      <c r="H5">
        <v>292.74</v>
      </c>
      <c r="I5">
        <v>292.74</v>
      </c>
      <c r="J5" t="s">
        <v>83</v>
      </c>
      <c r="K5" t="s">
        <v>84</v>
      </c>
    </row>
    <row r="6" spans="1:11" x14ac:dyDescent="0.2">
      <c r="A6">
        <v>7</v>
      </c>
      <c r="B6">
        <v>7</v>
      </c>
      <c r="C6" s="1">
        <v>46214</v>
      </c>
      <c r="D6">
        <v>3</v>
      </c>
      <c r="E6" t="s">
        <v>16</v>
      </c>
      <c r="F6" t="s">
        <v>82</v>
      </c>
      <c r="G6">
        <v>1107.2</v>
      </c>
      <c r="H6">
        <v>3321.6000000000004</v>
      </c>
      <c r="I6">
        <v>3321.6000000000004</v>
      </c>
      <c r="J6" t="s">
        <v>83</v>
      </c>
      <c r="K6" t="s">
        <v>84</v>
      </c>
    </row>
    <row r="7" spans="1:11" x14ac:dyDescent="0.2">
      <c r="A7">
        <v>46</v>
      </c>
      <c r="B7">
        <v>7</v>
      </c>
      <c r="C7" s="1">
        <v>46167</v>
      </c>
      <c r="D7">
        <v>2</v>
      </c>
      <c r="E7" t="s">
        <v>16</v>
      </c>
      <c r="F7" t="s">
        <v>82</v>
      </c>
      <c r="G7">
        <v>1107.2</v>
      </c>
      <c r="H7">
        <v>2214.4</v>
      </c>
      <c r="I7">
        <v>2214.4</v>
      </c>
      <c r="J7" t="s">
        <v>83</v>
      </c>
      <c r="K7" t="s">
        <v>84</v>
      </c>
    </row>
    <row r="8" spans="1:11" x14ac:dyDescent="0.2">
      <c r="A8">
        <v>100</v>
      </c>
      <c r="B8">
        <v>7</v>
      </c>
      <c r="C8" s="1">
        <v>46236</v>
      </c>
      <c r="D8">
        <v>2</v>
      </c>
      <c r="E8" t="s">
        <v>16</v>
      </c>
      <c r="F8" t="s">
        <v>82</v>
      </c>
      <c r="G8">
        <v>1107.2</v>
      </c>
      <c r="H8">
        <v>2214.4</v>
      </c>
      <c r="I8">
        <v>2214.4</v>
      </c>
      <c r="J8" t="s">
        <v>83</v>
      </c>
      <c r="K8" t="s">
        <v>84</v>
      </c>
    </row>
    <row r="9" spans="1:11" x14ac:dyDescent="0.2">
      <c r="A9">
        <v>8</v>
      </c>
      <c r="B9">
        <v>8</v>
      </c>
      <c r="C9" s="1">
        <v>46204</v>
      </c>
      <c r="D9">
        <v>3</v>
      </c>
      <c r="E9" t="s">
        <v>17</v>
      </c>
      <c r="F9" t="s">
        <v>82</v>
      </c>
      <c r="G9">
        <v>1387.44</v>
      </c>
      <c r="H9">
        <v>4162.32</v>
      </c>
      <c r="I9">
        <v>4162.32</v>
      </c>
      <c r="J9" t="s">
        <v>83</v>
      </c>
      <c r="K9" t="s">
        <v>84</v>
      </c>
    </row>
    <row r="10" spans="1:11" x14ac:dyDescent="0.2">
      <c r="A10">
        <v>31</v>
      </c>
      <c r="B10">
        <v>8</v>
      </c>
      <c r="C10" s="1">
        <v>46174</v>
      </c>
      <c r="D10">
        <v>2</v>
      </c>
      <c r="E10" t="s">
        <v>17</v>
      </c>
      <c r="F10" t="s">
        <v>82</v>
      </c>
      <c r="G10">
        <v>1387.44</v>
      </c>
      <c r="H10">
        <v>2774.88</v>
      </c>
      <c r="I10">
        <v>2774.88</v>
      </c>
      <c r="J10" t="s">
        <v>83</v>
      </c>
      <c r="K10" t="s">
        <v>84</v>
      </c>
    </row>
    <row r="11" spans="1:11" x14ac:dyDescent="0.2">
      <c r="A11">
        <v>71</v>
      </c>
      <c r="B11">
        <v>8</v>
      </c>
      <c r="C11" s="1">
        <v>46231</v>
      </c>
      <c r="D11">
        <v>2</v>
      </c>
      <c r="E11" t="s">
        <v>17</v>
      </c>
      <c r="F11" t="s">
        <v>82</v>
      </c>
      <c r="G11">
        <v>1387.44</v>
      </c>
      <c r="H11">
        <v>2774.88</v>
      </c>
      <c r="I11">
        <v>2774.88</v>
      </c>
      <c r="J11" t="s">
        <v>83</v>
      </c>
      <c r="K11" t="s">
        <v>84</v>
      </c>
    </row>
    <row r="12" spans="1:11" x14ac:dyDescent="0.2">
      <c r="A12">
        <v>107</v>
      </c>
      <c r="B12">
        <v>8</v>
      </c>
      <c r="C12" s="1">
        <v>46188</v>
      </c>
      <c r="D12">
        <v>3</v>
      </c>
      <c r="E12" t="s">
        <v>17</v>
      </c>
      <c r="F12" t="s">
        <v>82</v>
      </c>
      <c r="G12">
        <v>1387.44</v>
      </c>
      <c r="H12">
        <v>4162.32</v>
      </c>
      <c r="I12">
        <v>4162.32</v>
      </c>
      <c r="J12" t="s">
        <v>83</v>
      </c>
      <c r="K12" t="s">
        <v>84</v>
      </c>
    </row>
    <row r="13" spans="1:11" x14ac:dyDescent="0.2">
      <c r="A13">
        <v>9</v>
      </c>
      <c r="B13">
        <v>9</v>
      </c>
      <c r="C13" s="1">
        <v>46199</v>
      </c>
      <c r="D13">
        <v>1</v>
      </c>
      <c r="E13" t="s">
        <v>18</v>
      </c>
      <c r="F13" t="s">
        <v>82</v>
      </c>
      <c r="G13">
        <v>844.86</v>
      </c>
      <c r="H13">
        <v>844.86</v>
      </c>
      <c r="I13">
        <v>844.86</v>
      </c>
      <c r="J13" t="s">
        <v>83</v>
      </c>
      <c r="K13" t="s">
        <v>84</v>
      </c>
    </row>
    <row r="14" spans="1:11" x14ac:dyDescent="0.2">
      <c r="A14">
        <v>32</v>
      </c>
      <c r="B14">
        <v>9</v>
      </c>
      <c r="C14" s="1">
        <v>46233</v>
      </c>
      <c r="D14">
        <v>3</v>
      </c>
      <c r="E14" t="s">
        <v>18</v>
      </c>
      <c r="F14" t="s">
        <v>82</v>
      </c>
      <c r="G14">
        <v>844.86</v>
      </c>
      <c r="H14">
        <v>2534.58</v>
      </c>
      <c r="I14">
        <v>2534.58</v>
      </c>
      <c r="J14" t="s">
        <v>83</v>
      </c>
      <c r="K14" t="s">
        <v>84</v>
      </c>
    </row>
    <row r="15" spans="1:11" x14ac:dyDescent="0.2">
      <c r="A15">
        <v>45</v>
      </c>
      <c r="B15">
        <v>9</v>
      </c>
      <c r="C15" s="1">
        <v>46176</v>
      </c>
      <c r="D15">
        <v>3</v>
      </c>
      <c r="E15" t="s">
        <v>18</v>
      </c>
      <c r="F15" t="s">
        <v>82</v>
      </c>
      <c r="G15">
        <v>844.86</v>
      </c>
      <c r="H15">
        <v>2534.58</v>
      </c>
      <c r="I15">
        <v>2534.58</v>
      </c>
      <c r="J15" t="s">
        <v>83</v>
      </c>
      <c r="K15" t="s">
        <v>84</v>
      </c>
    </row>
    <row r="16" spans="1:11" x14ac:dyDescent="0.2">
      <c r="A16">
        <v>63</v>
      </c>
      <c r="B16">
        <v>9</v>
      </c>
      <c r="C16" s="1">
        <v>46247</v>
      </c>
      <c r="D16">
        <v>2</v>
      </c>
      <c r="E16" t="s">
        <v>18</v>
      </c>
      <c r="F16" t="s">
        <v>82</v>
      </c>
      <c r="G16">
        <v>844.86</v>
      </c>
      <c r="H16">
        <v>1689.72</v>
      </c>
      <c r="I16">
        <v>1689.72</v>
      </c>
      <c r="J16" t="s">
        <v>83</v>
      </c>
      <c r="K16" t="s">
        <v>84</v>
      </c>
    </row>
    <row r="17" spans="1:11" x14ac:dyDescent="0.2">
      <c r="A17">
        <v>97</v>
      </c>
      <c r="B17">
        <v>9</v>
      </c>
      <c r="C17" s="1">
        <v>46174</v>
      </c>
      <c r="D17">
        <v>2</v>
      </c>
      <c r="E17" t="s">
        <v>18</v>
      </c>
      <c r="F17" t="s">
        <v>82</v>
      </c>
      <c r="G17">
        <v>844.86</v>
      </c>
      <c r="H17">
        <v>1689.72</v>
      </c>
      <c r="I17">
        <v>1689.72</v>
      </c>
      <c r="J17" t="s">
        <v>83</v>
      </c>
      <c r="K17" t="s">
        <v>84</v>
      </c>
    </row>
    <row r="18" spans="1:11" x14ac:dyDescent="0.2">
      <c r="A18">
        <v>101</v>
      </c>
      <c r="B18">
        <v>9</v>
      </c>
      <c r="C18" s="1">
        <v>46240</v>
      </c>
      <c r="D18">
        <v>2</v>
      </c>
      <c r="E18" t="s">
        <v>18</v>
      </c>
      <c r="F18" t="s">
        <v>82</v>
      </c>
      <c r="G18">
        <v>844.86</v>
      </c>
      <c r="H18">
        <v>1689.72</v>
      </c>
      <c r="I18">
        <v>1689.72</v>
      </c>
      <c r="J18" t="s">
        <v>83</v>
      </c>
      <c r="K18" t="s">
        <v>84</v>
      </c>
    </row>
    <row r="19" spans="1:11" x14ac:dyDescent="0.2">
      <c r="A19">
        <v>117</v>
      </c>
      <c r="B19">
        <v>9</v>
      </c>
      <c r="C19" s="1">
        <v>46191</v>
      </c>
      <c r="D19">
        <v>3</v>
      </c>
      <c r="E19" t="s">
        <v>18</v>
      </c>
      <c r="F19" t="s">
        <v>82</v>
      </c>
      <c r="G19">
        <v>844.86</v>
      </c>
      <c r="H19">
        <v>2534.58</v>
      </c>
      <c r="I19">
        <v>2534.58</v>
      </c>
      <c r="J19" t="s">
        <v>83</v>
      </c>
      <c r="K19" t="s">
        <v>84</v>
      </c>
    </row>
    <row r="20" spans="1:11" x14ac:dyDescent="0.2">
      <c r="A20">
        <v>132</v>
      </c>
      <c r="B20">
        <v>9</v>
      </c>
      <c r="C20" s="1">
        <v>46234</v>
      </c>
      <c r="D20">
        <v>1</v>
      </c>
      <c r="E20" t="s">
        <v>18</v>
      </c>
      <c r="F20" t="s">
        <v>82</v>
      </c>
      <c r="G20">
        <v>844.86</v>
      </c>
      <c r="H20">
        <v>844.86</v>
      </c>
      <c r="I20">
        <v>844.86</v>
      </c>
      <c r="J20" t="s">
        <v>83</v>
      </c>
      <c r="K20" t="s">
        <v>84</v>
      </c>
    </row>
    <row r="21" spans="1:11" x14ac:dyDescent="0.2">
      <c r="A21">
        <v>145</v>
      </c>
      <c r="B21">
        <v>9</v>
      </c>
      <c r="C21" s="1">
        <v>46238</v>
      </c>
      <c r="D21">
        <v>1</v>
      </c>
      <c r="E21" t="s">
        <v>18</v>
      </c>
      <c r="F21" t="s">
        <v>82</v>
      </c>
      <c r="G21">
        <v>844.86</v>
      </c>
      <c r="H21">
        <v>844.86</v>
      </c>
      <c r="I21">
        <v>844.86</v>
      </c>
      <c r="J21" t="s">
        <v>83</v>
      </c>
      <c r="K21" t="s">
        <v>84</v>
      </c>
    </row>
    <row r="22" spans="1:11" x14ac:dyDescent="0.2">
      <c r="A22">
        <v>10</v>
      </c>
      <c r="B22">
        <v>10</v>
      </c>
      <c r="C22" s="1">
        <v>46219</v>
      </c>
      <c r="D22">
        <v>3</v>
      </c>
      <c r="E22" t="s">
        <v>19</v>
      </c>
      <c r="F22" t="s">
        <v>82</v>
      </c>
      <c r="G22">
        <v>718.81</v>
      </c>
      <c r="H22">
        <v>2156.4299999999998</v>
      </c>
      <c r="I22">
        <v>2156.4299999999998</v>
      </c>
      <c r="J22" t="s">
        <v>83</v>
      </c>
      <c r="K22" t="s">
        <v>84</v>
      </c>
    </row>
    <row r="23" spans="1:11" x14ac:dyDescent="0.2">
      <c r="A23">
        <v>40</v>
      </c>
      <c r="B23">
        <v>10</v>
      </c>
      <c r="C23" s="1">
        <v>46246</v>
      </c>
      <c r="D23">
        <v>2</v>
      </c>
      <c r="E23" t="s">
        <v>19</v>
      </c>
      <c r="F23" t="s">
        <v>82</v>
      </c>
      <c r="G23">
        <v>718.81</v>
      </c>
      <c r="H23">
        <v>1437.62</v>
      </c>
      <c r="I23">
        <v>1437.62</v>
      </c>
      <c r="J23" t="s">
        <v>83</v>
      </c>
      <c r="K23" t="s">
        <v>84</v>
      </c>
    </row>
    <row r="24" spans="1:11" x14ac:dyDescent="0.2">
      <c r="A24">
        <v>44</v>
      </c>
      <c r="B24">
        <v>10</v>
      </c>
      <c r="C24" s="1">
        <v>46179</v>
      </c>
      <c r="D24">
        <v>3</v>
      </c>
      <c r="E24" t="s">
        <v>19</v>
      </c>
      <c r="F24" t="s">
        <v>82</v>
      </c>
      <c r="G24">
        <v>718.81</v>
      </c>
      <c r="H24">
        <v>2156.4299999999998</v>
      </c>
      <c r="I24">
        <v>2156.4299999999998</v>
      </c>
      <c r="J24" t="s">
        <v>83</v>
      </c>
      <c r="K24" t="s">
        <v>84</v>
      </c>
    </row>
    <row r="25" spans="1:11" x14ac:dyDescent="0.2">
      <c r="A25">
        <v>58</v>
      </c>
      <c r="B25">
        <v>10</v>
      </c>
      <c r="C25" s="1">
        <v>46166</v>
      </c>
      <c r="D25">
        <v>3</v>
      </c>
      <c r="E25" t="s">
        <v>19</v>
      </c>
      <c r="F25" t="s">
        <v>82</v>
      </c>
      <c r="G25">
        <v>718.81</v>
      </c>
      <c r="H25">
        <v>2156.4299999999998</v>
      </c>
      <c r="I25">
        <v>2156.4299999999998</v>
      </c>
      <c r="J25" t="s">
        <v>83</v>
      </c>
      <c r="K25" t="s">
        <v>84</v>
      </c>
    </row>
    <row r="26" spans="1:11" x14ac:dyDescent="0.2">
      <c r="A26">
        <v>119</v>
      </c>
      <c r="B26">
        <v>10</v>
      </c>
      <c r="C26" s="1">
        <v>46242</v>
      </c>
      <c r="D26">
        <v>3</v>
      </c>
      <c r="E26" t="s">
        <v>19</v>
      </c>
      <c r="F26" t="s">
        <v>82</v>
      </c>
      <c r="G26">
        <v>718.81</v>
      </c>
      <c r="H26">
        <v>2156.4299999999998</v>
      </c>
      <c r="I26">
        <v>2156.4299999999998</v>
      </c>
      <c r="J26" t="s">
        <v>83</v>
      </c>
      <c r="K26" t="s">
        <v>84</v>
      </c>
    </row>
    <row r="27" spans="1:11" x14ac:dyDescent="0.2">
      <c r="A27">
        <v>131</v>
      </c>
      <c r="B27">
        <v>10</v>
      </c>
      <c r="C27" s="1">
        <v>46224</v>
      </c>
      <c r="D27">
        <v>1</v>
      </c>
      <c r="E27" t="s">
        <v>19</v>
      </c>
      <c r="F27" t="s">
        <v>82</v>
      </c>
      <c r="G27">
        <v>718.81</v>
      </c>
      <c r="H27">
        <v>718.81</v>
      </c>
      <c r="I27">
        <v>718.81</v>
      </c>
      <c r="J27" t="s">
        <v>83</v>
      </c>
      <c r="K27" t="s">
        <v>84</v>
      </c>
    </row>
    <row r="28" spans="1:11" x14ac:dyDescent="0.2">
      <c r="A28">
        <v>146</v>
      </c>
      <c r="B28">
        <v>10</v>
      </c>
      <c r="C28" s="1">
        <v>46232</v>
      </c>
      <c r="D28">
        <v>3</v>
      </c>
      <c r="E28" t="s">
        <v>19</v>
      </c>
      <c r="F28" t="s">
        <v>82</v>
      </c>
      <c r="G28">
        <v>718.81</v>
      </c>
      <c r="H28">
        <v>2156.4299999999998</v>
      </c>
      <c r="I28">
        <v>2156.4299999999998</v>
      </c>
      <c r="J28" t="s">
        <v>83</v>
      </c>
      <c r="K28" t="s">
        <v>84</v>
      </c>
    </row>
    <row r="29" spans="1:11" x14ac:dyDescent="0.2">
      <c r="A29">
        <v>149</v>
      </c>
      <c r="B29">
        <v>7</v>
      </c>
      <c r="C29" s="1">
        <v>46178</v>
      </c>
      <c r="D29">
        <v>1</v>
      </c>
      <c r="E29" t="s">
        <v>16</v>
      </c>
      <c r="F29" t="s">
        <v>82</v>
      </c>
      <c r="G29">
        <v>1107.2</v>
      </c>
      <c r="H29">
        <v>1107.2</v>
      </c>
      <c r="I29">
        <v>1107.2</v>
      </c>
      <c r="J29" t="s">
        <v>83</v>
      </c>
      <c r="K29" t="s">
        <v>84</v>
      </c>
    </row>
    <row r="30" spans="1:11" x14ac:dyDescent="0.2">
      <c r="A30">
        <v>154</v>
      </c>
      <c r="B30">
        <v>8</v>
      </c>
      <c r="C30" s="1">
        <v>46181</v>
      </c>
      <c r="D30">
        <v>1</v>
      </c>
      <c r="E30" t="s">
        <v>17</v>
      </c>
      <c r="F30" t="s">
        <v>82</v>
      </c>
      <c r="G30">
        <v>1387.44</v>
      </c>
      <c r="H30">
        <v>1387.44</v>
      </c>
      <c r="I30">
        <v>1387.44</v>
      </c>
      <c r="J30" t="s">
        <v>83</v>
      </c>
      <c r="K30" t="s">
        <v>84</v>
      </c>
    </row>
    <row r="31" spans="1:11" x14ac:dyDescent="0.2">
      <c r="A31">
        <v>168</v>
      </c>
      <c r="B31">
        <v>10</v>
      </c>
      <c r="C31" s="1">
        <v>46172</v>
      </c>
      <c r="D31">
        <v>3</v>
      </c>
      <c r="E31" t="s">
        <v>19</v>
      </c>
      <c r="F31" t="s">
        <v>82</v>
      </c>
      <c r="G31">
        <v>718.81</v>
      </c>
      <c r="H31">
        <v>2156.4299999999998</v>
      </c>
      <c r="I31">
        <v>2156.4299999999998</v>
      </c>
      <c r="J31" t="s">
        <v>83</v>
      </c>
      <c r="K31" t="s">
        <v>84</v>
      </c>
    </row>
    <row r="32" spans="1:11" x14ac:dyDescent="0.2">
      <c r="A32">
        <v>175</v>
      </c>
      <c r="B32">
        <v>6</v>
      </c>
      <c r="C32" s="1">
        <v>46212</v>
      </c>
      <c r="D32">
        <v>3</v>
      </c>
      <c r="E32" t="s">
        <v>14</v>
      </c>
      <c r="F32" t="s">
        <v>82</v>
      </c>
      <c r="G32">
        <v>146.37</v>
      </c>
      <c r="H32">
        <v>439.11</v>
      </c>
      <c r="I32">
        <v>439.11</v>
      </c>
      <c r="J32" t="s">
        <v>83</v>
      </c>
      <c r="K32" t="s">
        <v>84</v>
      </c>
    </row>
    <row r="33" spans="1:11" x14ac:dyDescent="0.2">
      <c r="A33">
        <v>176</v>
      </c>
      <c r="B33">
        <v>6</v>
      </c>
      <c r="C33" s="1">
        <v>46214</v>
      </c>
      <c r="D33">
        <v>1</v>
      </c>
      <c r="E33" t="s">
        <v>14</v>
      </c>
      <c r="F33" t="s">
        <v>82</v>
      </c>
      <c r="G33">
        <v>146.37</v>
      </c>
      <c r="H33">
        <v>146.37</v>
      </c>
      <c r="I33">
        <v>146.37</v>
      </c>
      <c r="J33" t="s">
        <v>83</v>
      </c>
      <c r="K33" t="s">
        <v>84</v>
      </c>
    </row>
    <row r="34" spans="1:11" x14ac:dyDescent="0.2">
      <c r="A34">
        <v>178</v>
      </c>
      <c r="B34">
        <v>10</v>
      </c>
      <c r="C34" s="1">
        <v>46252</v>
      </c>
      <c r="D34">
        <v>2</v>
      </c>
      <c r="E34" t="s">
        <v>19</v>
      </c>
      <c r="F34" t="s">
        <v>82</v>
      </c>
      <c r="G34">
        <v>718.81</v>
      </c>
      <c r="H34">
        <v>1437.62</v>
      </c>
      <c r="I34">
        <v>1437.62</v>
      </c>
      <c r="J34" t="s">
        <v>83</v>
      </c>
      <c r="K34" t="s">
        <v>84</v>
      </c>
    </row>
    <row r="35" spans="1:11" x14ac:dyDescent="0.2">
      <c r="A35">
        <v>187</v>
      </c>
      <c r="B35">
        <v>10</v>
      </c>
      <c r="C35" s="1">
        <v>46242</v>
      </c>
      <c r="D35">
        <v>2</v>
      </c>
      <c r="E35" t="s">
        <v>19</v>
      </c>
      <c r="F35" t="s">
        <v>82</v>
      </c>
      <c r="G35">
        <v>718.81</v>
      </c>
      <c r="H35">
        <v>1437.62</v>
      </c>
      <c r="I35">
        <v>1437.62</v>
      </c>
      <c r="J35" t="s">
        <v>83</v>
      </c>
      <c r="K35" t="s">
        <v>84</v>
      </c>
    </row>
    <row r="36" spans="1:11" x14ac:dyDescent="0.2">
      <c r="A36">
        <v>192</v>
      </c>
      <c r="B36">
        <v>8</v>
      </c>
      <c r="C36" s="1">
        <v>46189</v>
      </c>
      <c r="D36">
        <v>2</v>
      </c>
      <c r="E36" t="s">
        <v>17</v>
      </c>
      <c r="F36" t="s">
        <v>82</v>
      </c>
      <c r="G36">
        <v>1387.44</v>
      </c>
      <c r="H36">
        <v>2774.88</v>
      </c>
      <c r="I36">
        <v>2774.88</v>
      </c>
      <c r="J36" t="s">
        <v>83</v>
      </c>
      <c r="K36" t="s">
        <v>84</v>
      </c>
    </row>
  </sheetData>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9E79F-DC16-4649-8770-935ED0285A90}">
  <dimension ref="A1:H201"/>
  <sheetViews>
    <sheetView workbookViewId="0">
      <selection activeCell="E11" sqref="E11"/>
    </sheetView>
  </sheetViews>
  <sheetFormatPr baseColWidth="10" defaultRowHeight="16" x14ac:dyDescent="0.2"/>
  <cols>
    <col min="1" max="1" width="9.5" bestFit="1" customWidth="1"/>
    <col min="2" max="2" width="12.33203125" bestFit="1" customWidth="1"/>
    <col min="3" max="3" width="11.6640625" bestFit="1" customWidth="1"/>
    <col min="4" max="4" width="10.5" bestFit="1" customWidth="1"/>
    <col min="5" max="5" width="19" bestFit="1" customWidth="1"/>
  </cols>
  <sheetData>
    <row r="1" spans="1:8" x14ac:dyDescent="0.2">
      <c r="A1" t="s">
        <v>0</v>
      </c>
      <c r="B1" t="s">
        <v>1</v>
      </c>
      <c r="C1" t="s">
        <v>2</v>
      </c>
      <c r="D1" t="s">
        <v>3</v>
      </c>
      <c r="E1" t="s">
        <v>4</v>
      </c>
      <c r="F1" t="s">
        <v>5</v>
      </c>
      <c r="G1" t="s">
        <v>7</v>
      </c>
      <c r="H1" t="s">
        <v>64</v>
      </c>
    </row>
    <row r="2" spans="1:8" x14ac:dyDescent="0.2">
      <c r="A2">
        <v>1</v>
      </c>
      <c r="B2">
        <v>1</v>
      </c>
      <c r="C2" s="1">
        <v>46232</v>
      </c>
      <c r="D2">
        <v>8</v>
      </c>
      <c r="E2" t="str">
        <f>_xlfn.XLOOKUP(SalesTable[[#This Row],[product_id]],ProductsTable[product_id],ProductsTable[product_name],"Not Found")</f>
        <v>Wireless Mouse</v>
      </c>
      <c r="F2" t="str">
        <f>_xlfn.XLOOKUP(SalesTable[[#This Row],[product_id]],ProductsTable[product_id],ProductsTable[category],"Not Found")</f>
        <v>Accessories</v>
      </c>
      <c r="G2">
        <f>_xlfn.XLOOKUP(VALUE(SalesTable[[#This Row],[product_id]]),ProductsTable[product_id],ProductsTable[unit_price],"Not Found")</f>
        <v>62.84</v>
      </c>
      <c r="H2">
        <f>SalesTable[[#This Row],[quantity]]*SalesTable[[#This Row],[unit_price]]</f>
        <v>502.72</v>
      </c>
    </row>
    <row r="3" spans="1:8" x14ac:dyDescent="0.2">
      <c r="A3">
        <v>2</v>
      </c>
      <c r="B3">
        <v>2</v>
      </c>
      <c r="C3" s="1">
        <v>46245</v>
      </c>
      <c r="D3">
        <v>5</v>
      </c>
      <c r="E3" t="str">
        <f>_xlfn.XLOOKUP(SalesTable[[#This Row],[product_id]],ProductsTable[product_id],ProductsTable[product_name],"Not Found")</f>
        <v>USB-C Cable</v>
      </c>
      <c r="F3" t="str">
        <f>_xlfn.XLOOKUP(SalesTable[[#This Row],[product_id]],ProductsTable[product_id],ProductsTable[category],"Not Found")</f>
        <v>Accessories</v>
      </c>
      <c r="G3">
        <f>_xlfn.XLOOKUP(VALUE(SalesTable[[#This Row],[product_id]]),ProductsTable[product_id],ProductsTable[unit_price],"Not Found")</f>
        <v>17.239999999999998</v>
      </c>
      <c r="H3">
        <f>SalesTable[[#This Row],[quantity]]*SalesTable[[#This Row],[unit_price]]</f>
        <v>86.199999999999989</v>
      </c>
    </row>
    <row r="4" spans="1:8" x14ac:dyDescent="0.2">
      <c r="A4">
        <v>3</v>
      </c>
      <c r="B4">
        <v>3</v>
      </c>
      <c r="C4" s="1">
        <v>46200</v>
      </c>
      <c r="D4">
        <v>9</v>
      </c>
      <c r="E4" t="str">
        <f>_xlfn.XLOOKUP(SalesTable[[#This Row],[product_id]],ProductsTable[product_id],ProductsTable[product_name],"Not Found")</f>
        <v>Laptop Stand</v>
      </c>
      <c r="F4" t="str">
        <f>_xlfn.XLOOKUP(SalesTable[[#This Row],[product_id]],ProductsTable[product_id],ProductsTable[category],"Not Found")</f>
        <v>Accessories</v>
      </c>
      <c r="G4">
        <f>_xlfn.XLOOKUP(VALUE(SalesTable[[#This Row],[product_id]]),ProductsTable[product_id],ProductsTable[unit_price],"Not Found")</f>
        <v>38.270000000000003</v>
      </c>
      <c r="H4">
        <f>SalesTable[[#This Row],[quantity]]*SalesTable[[#This Row],[unit_price]]</f>
        <v>344.43</v>
      </c>
    </row>
    <row r="5" spans="1:8" x14ac:dyDescent="0.2">
      <c r="A5">
        <v>4</v>
      </c>
      <c r="B5">
        <v>4</v>
      </c>
      <c r="C5" s="1">
        <v>46176</v>
      </c>
      <c r="D5">
        <v>8</v>
      </c>
      <c r="E5" t="str">
        <f>_xlfn.XLOOKUP(SalesTable[[#This Row],[product_id]],ProductsTable[product_id],ProductsTable[product_name],"Not Found")</f>
        <v>Webcam Cover</v>
      </c>
      <c r="F5" t="str">
        <f>_xlfn.XLOOKUP(SalesTable[[#This Row],[product_id]],ProductsTable[product_id],ProductsTable[category],"Not Found")</f>
        <v>Accessories</v>
      </c>
      <c r="G5">
        <f>_xlfn.XLOOKUP(VALUE(SalesTable[[#This Row],[product_id]]),ProductsTable[product_id],ProductsTable[unit_price],"Not Found")</f>
        <v>71.17</v>
      </c>
      <c r="H5">
        <f>SalesTable[[#This Row],[quantity]]*SalesTable[[#This Row],[unit_price]]</f>
        <v>569.36</v>
      </c>
    </row>
    <row r="6" spans="1:8" x14ac:dyDescent="0.2">
      <c r="A6">
        <v>5</v>
      </c>
      <c r="B6">
        <v>5</v>
      </c>
      <c r="C6" s="1">
        <v>46193</v>
      </c>
      <c r="D6">
        <v>8</v>
      </c>
      <c r="E6" t="str">
        <f>_xlfn.XLOOKUP(SalesTable[[#This Row],[product_id]],ProductsTable[product_id],ProductsTable[product_name],"Not Found")</f>
        <v>Mouse Pad</v>
      </c>
      <c r="F6" t="str">
        <f>_xlfn.XLOOKUP(SalesTable[[#This Row],[product_id]],ProductsTable[product_id],ProductsTable[category],"Not Found")</f>
        <v>Accessories</v>
      </c>
      <c r="G6">
        <f>_xlfn.XLOOKUP(VALUE(SalesTable[[#This Row],[product_id]]),ProductsTable[product_id],ProductsTable[unit_price],"Not Found")</f>
        <v>31.46</v>
      </c>
      <c r="H6">
        <f>SalesTable[[#This Row],[quantity]]*SalesTable[[#This Row],[unit_price]]</f>
        <v>251.68</v>
      </c>
    </row>
    <row r="7" spans="1:8" x14ac:dyDescent="0.2">
      <c r="A7">
        <v>6</v>
      </c>
      <c r="B7">
        <v>6</v>
      </c>
      <c r="C7" s="1">
        <v>46179</v>
      </c>
      <c r="D7">
        <v>2</v>
      </c>
      <c r="E7" t="str">
        <f>_xlfn.XLOOKUP(SalesTable[[#This Row],[product_id]],ProductsTable[product_id],ProductsTable[product_name],"Not Found")</f>
        <v>Business Laptop</v>
      </c>
      <c r="F7" t="str">
        <f>_xlfn.XLOOKUP(SalesTable[[#This Row],[product_id]],ProductsTable[product_id],ProductsTable[category],"Not Found")</f>
        <v>Computer</v>
      </c>
      <c r="G7">
        <f>_xlfn.XLOOKUP(VALUE(SalesTable[[#This Row],[product_id]]),ProductsTable[product_id],ProductsTable[unit_price],"Not Found")</f>
        <v>146.37</v>
      </c>
      <c r="H7">
        <f>SalesTable[[#This Row],[quantity]]*SalesTable[[#This Row],[unit_price]]</f>
        <v>292.74</v>
      </c>
    </row>
    <row r="8" spans="1:8" x14ac:dyDescent="0.2">
      <c r="A8">
        <v>7</v>
      </c>
      <c r="B8">
        <v>7</v>
      </c>
      <c r="C8" s="1">
        <v>46214</v>
      </c>
      <c r="D8">
        <v>3</v>
      </c>
      <c r="E8" t="str">
        <f>_xlfn.XLOOKUP(SalesTable[[#This Row],[product_id]],ProductsTable[product_id],ProductsTable[product_name],"Not Found")</f>
        <v>Gaming Laptop</v>
      </c>
      <c r="F8" t="str">
        <f>_xlfn.XLOOKUP(SalesTable[[#This Row],[product_id]],ProductsTable[product_id],ProductsTable[category],"Not Found")</f>
        <v>Computer</v>
      </c>
      <c r="G8">
        <f>_xlfn.XLOOKUP(VALUE(SalesTable[[#This Row],[product_id]]),ProductsTable[product_id],ProductsTable[unit_price],"Not Found")</f>
        <v>1107.2</v>
      </c>
      <c r="H8">
        <f>SalesTable[[#This Row],[quantity]]*SalesTable[[#This Row],[unit_price]]</f>
        <v>3321.6000000000004</v>
      </c>
    </row>
    <row r="9" spans="1:8" x14ac:dyDescent="0.2">
      <c r="A9">
        <v>8</v>
      </c>
      <c r="B9">
        <v>8</v>
      </c>
      <c r="C9" s="1">
        <v>46204</v>
      </c>
      <c r="D9">
        <v>3</v>
      </c>
      <c r="E9" t="str">
        <f>_xlfn.XLOOKUP(SalesTable[[#This Row],[product_id]],ProductsTable[product_id],ProductsTable[product_name],"Not Found")</f>
        <v>Desktop Computer</v>
      </c>
      <c r="F9" t="str">
        <f>_xlfn.XLOOKUP(SalesTable[[#This Row],[product_id]],ProductsTable[product_id],ProductsTable[category],"Not Found")</f>
        <v>Computer</v>
      </c>
      <c r="G9">
        <f>_xlfn.XLOOKUP(VALUE(SalesTable[[#This Row],[product_id]]),ProductsTable[product_id],ProductsTable[unit_price],"Not Found")</f>
        <v>1387.44</v>
      </c>
      <c r="H9">
        <f>SalesTable[[#This Row],[quantity]]*SalesTable[[#This Row],[unit_price]]</f>
        <v>4162.32</v>
      </c>
    </row>
    <row r="10" spans="1:8" x14ac:dyDescent="0.2">
      <c r="A10">
        <v>9</v>
      </c>
      <c r="B10">
        <v>9</v>
      </c>
      <c r="C10" s="1">
        <v>46199</v>
      </c>
      <c r="D10">
        <v>1</v>
      </c>
      <c r="E10" t="str">
        <f>_xlfn.XLOOKUP(SalesTable[[#This Row],[product_id]],ProductsTable[product_id],ProductsTable[product_name],"Not Found")</f>
        <v>Mini PC</v>
      </c>
      <c r="F10" t="str">
        <f>_xlfn.XLOOKUP(SalesTable[[#This Row],[product_id]],ProductsTable[product_id],ProductsTable[category],"Not Found")</f>
        <v>Computer</v>
      </c>
      <c r="G10">
        <f>_xlfn.XLOOKUP(VALUE(SalesTable[[#This Row],[product_id]]),ProductsTable[product_id],ProductsTable[unit_price],"Not Found")</f>
        <v>844.86</v>
      </c>
      <c r="H10">
        <f>SalesTable[[#This Row],[quantity]]*SalesTable[[#This Row],[unit_price]]</f>
        <v>844.86</v>
      </c>
    </row>
    <row r="11" spans="1:8" x14ac:dyDescent="0.2">
      <c r="A11">
        <v>10</v>
      </c>
      <c r="B11">
        <v>10</v>
      </c>
      <c r="C11" s="1">
        <v>46219</v>
      </c>
      <c r="D11">
        <v>3</v>
      </c>
      <c r="E11" t="str">
        <f>_xlfn.XLOOKUP(SalesTable[[#This Row],[product_id]],ProductsTable[product_id],ProductsTable[product_name],"Not Found")</f>
        <v>Workstation</v>
      </c>
      <c r="F11" t="str">
        <f>_xlfn.XLOOKUP(SalesTable[[#This Row],[product_id]],ProductsTable[product_id],ProductsTable[category],"Not Found")</f>
        <v>Computer</v>
      </c>
      <c r="G11">
        <f>_xlfn.XLOOKUP(VALUE(SalesTable[[#This Row],[product_id]]),ProductsTable[product_id],ProductsTable[unit_price],"Not Found")</f>
        <v>718.81</v>
      </c>
      <c r="H11">
        <f>SalesTable[[#This Row],[quantity]]*SalesTable[[#This Row],[unit_price]]</f>
        <v>2156.4299999999998</v>
      </c>
    </row>
    <row r="12" spans="1:8" x14ac:dyDescent="0.2">
      <c r="A12">
        <v>11</v>
      </c>
      <c r="B12">
        <v>11</v>
      </c>
      <c r="C12" s="1">
        <v>46230</v>
      </c>
      <c r="D12">
        <v>1</v>
      </c>
      <c r="E12" t="str">
        <f>_xlfn.XLOOKUP(SalesTable[[#This Row],[product_id]],ProductsTable[product_id],ProductsTable[product_name],"Not Found")</f>
        <v>Bluetooth Speaker</v>
      </c>
      <c r="F12" t="str">
        <f>_xlfn.XLOOKUP(SalesTable[[#This Row],[product_id]],ProductsTable[product_id],ProductsTable[category],"Not Found")</f>
        <v>Audio</v>
      </c>
      <c r="G12">
        <f>_xlfn.XLOOKUP(VALUE(SalesTable[[#This Row],[product_id]]),ProductsTable[product_id],ProductsTable[unit_price],"Not Found")</f>
        <v>233.04</v>
      </c>
      <c r="H12">
        <f>SalesTable[[#This Row],[quantity]]*SalesTable[[#This Row],[unit_price]]</f>
        <v>233.04</v>
      </c>
    </row>
    <row r="13" spans="1:8" x14ac:dyDescent="0.2">
      <c r="A13">
        <v>12</v>
      </c>
      <c r="B13">
        <v>12</v>
      </c>
      <c r="C13" s="1">
        <v>46167</v>
      </c>
      <c r="D13">
        <v>4</v>
      </c>
      <c r="E13" t="str">
        <f>_xlfn.XLOOKUP(SalesTable[[#This Row],[product_id]],ProductsTable[product_id],ProductsTable[product_name],"Not Found")</f>
        <v>Wireless Headphones</v>
      </c>
      <c r="F13" t="str">
        <f>_xlfn.XLOOKUP(SalesTable[[#This Row],[product_id]],ProductsTable[product_id],ProductsTable[category],"Not Found")</f>
        <v>Audio</v>
      </c>
      <c r="G13">
        <f>_xlfn.XLOOKUP(VALUE(SalesTable[[#This Row],[product_id]]),ProductsTable[product_id],ProductsTable[unit_price],"Not Found")</f>
        <v>358.79</v>
      </c>
      <c r="H13">
        <f>SalesTable[[#This Row],[quantity]]*SalesTable[[#This Row],[unit_price]]</f>
        <v>1435.16</v>
      </c>
    </row>
    <row r="14" spans="1:8" x14ac:dyDescent="0.2">
      <c r="A14">
        <v>13</v>
      </c>
      <c r="B14">
        <v>13</v>
      </c>
      <c r="C14" s="1">
        <v>46164</v>
      </c>
      <c r="D14">
        <v>6</v>
      </c>
      <c r="E14" t="str">
        <f>_xlfn.XLOOKUP(SalesTable[[#This Row],[product_id]],ProductsTable[product_id],ProductsTable[product_name],"Not Found")</f>
        <v>Soundbar</v>
      </c>
      <c r="F14" t="str">
        <f>_xlfn.XLOOKUP(SalesTable[[#This Row],[product_id]],ProductsTable[product_id],ProductsTable[category],"Not Found")</f>
        <v>Audio</v>
      </c>
      <c r="G14">
        <f>_xlfn.XLOOKUP(VALUE(SalesTable[[#This Row],[product_id]]),ProductsTable[product_id],ProductsTable[unit_price],"Not Found")</f>
        <v>487.7</v>
      </c>
      <c r="H14">
        <f>SalesTable[[#This Row],[quantity]]*SalesTable[[#This Row],[unit_price]]</f>
        <v>2926.2</v>
      </c>
    </row>
    <row r="15" spans="1:8" x14ac:dyDescent="0.2">
      <c r="A15">
        <v>14</v>
      </c>
      <c r="B15">
        <v>14</v>
      </c>
      <c r="C15" s="1">
        <v>46192</v>
      </c>
      <c r="D15">
        <v>5</v>
      </c>
      <c r="E15" t="str">
        <f>_xlfn.XLOOKUP(SalesTable[[#This Row],[product_id]],ProductsTable[product_id],ProductsTable[product_name],"Not Found")</f>
        <v>USB Microphone</v>
      </c>
      <c r="F15" t="str">
        <f>_xlfn.XLOOKUP(SalesTable[[#This Row],[product_id]],ProductsTable[product_id],ProductsTable[category],"Not Found")</f>
        <v>Audio</v>
      </c>
      <c r="G15">
        <f>_xlfn.XLOOKUP(VALUE(SalesTable[[#This Row],[product_id]]),ProductsTable[product_id],ProductsTable[unit_price],"Not Found")</f>
        <v>176.19</v>
      </c>
      <c r="H15">
        <f>SalesTable[[#This Row],[quantity]]*SalesTable[[#This Row],[unit_price]]</f>
        <v>880.95</v>
      </c>
    </row>
    <row r="16" spans="1:8" x14ac:dyDescent="0.2">
      <c r="A16">
        <v>15</v>
      </c>
      <c r="B16">
        <v>15</v>
      </c>
      <c r="C16" s="1">
        <v>46165</v>
      </c>
      <c r="D16">
        <v>3</v>
      </c>
      <c r="E16" t="str">
        <f>_xlfn.XLOOKUP(SalesTable[[#This Row],[product_id]],ProductsTable[product_id],ProductsTable[product_name],"Not Found")</f>
        <v>Wireless Earbuds</v>
      </c>
      <c r="F16" t="str">
        <f>_xlfn.XLOOKUP(SalesTable[[#This Row],[product_id]],ProductsTable[product_id],ProductsTable[category],"Not Found")</f>
        <v>Audio</v>
      </c>
      <c r="G16">
        <f>_xlfn.XLOOKUP(VALUE(SalesTable[[#This Row],[product_id]]),ProductsTable[product_id],ProductsTable[unit_price],"Not Found")</f>
        <v>250.32</v>
      </c>
      <c r="H16">
        <f>SalesTable[[#This Row],[quantity]]*SalesTable[[#This Row],[unit_price]]</f>
        <v>750.96</v>
      </c>
    </row>
    <row r="17" spans="1:8" x14ac:dyDescent="0.2">
      <c r="A17">
        <v>16</v>
      </c>
      <c r="B17">
        <v>16</v>
      </c>
      <c r="C17" s="1">
        <v>46238</v>
      </c>
      <c r="D17">
        <v>4</v>
      </c>
      <c r="E17" t="str">
        <f>_xlfn.XLOOKUP(SalesTable[[#This Row],[product_id]],ProductsTable[product_id],ProductsTable[product_name],"Not Found")</f>
        <v>Office Chair</v>
      </c>
      <c r="F17" t="str">
        <f>_xlfn.XLOOKUP(SalesTable[[#This Row],[product_id]],ProductsTable[product_id],ProductsTable[category],"Not Found")</f>
        <v>Office</v>
      </c>
      <c r="G17">
        <f>_xlfn.XLOOKUP(VALUE(SalesTable[[#This Row],[product_id]]),ProductsTable[product_id],ProductsTable[unit_price],"Not Found")</f>
        <v>282.3</v>
      </c>
      <c r="H17">
        <f>SalesTable[[#This Row],[quantity]]*SalesTable[[#This Row],[unit_price]]</f>
        <v>1129.2</v>
      </c>
    </row>
    <row r="18" spans="1:8" x14ac:dyDescent="0.2">
      <c r="A18">
        <v>17</v>
      </c>
      <c r="B18">
        <v>17</v>
      </c>
      <c r="C18" s="1">
        <v>46240</v>
      </c>
      <c r="D18">
        <v>2</v>
      </c>
      <c r="E18" t="str">
        <f>_xlfn.XLOOKUP(SalesTable[[#This Row],[product_id]],ProductsTable[product_id],ProductsTable[product_name],"Not Found")</f>
        <v>Desk Lamp</v>
      </c>
      <c r="F18" t="str">
        <f>_xlfn.XLOOKUP(SalesTable[[#This Row],[product_id]],ProductsTable[product_id],ProductsTable[category],"Not Found")</f>
        <v>Office</v>
      </c>
      <c r="G18">
        <f>_xlfn.XLOOKUP(VALUE(SalesTable[[#This Row],[product_id]]),ProductsTable[product_id],ProductsTable[unit_price],"Not Found")</f>
        <v>25.28</v>
      </c>
      <c r="H18">
        <f>SalesTable[[#This Row],[quantity]]*SalesTable[[#This Row],[unit_price]]</f>
        <v>50.56</v>
      </c>
    </row>
    <row r="19" spans="1:8" x14ac:dyDescent="0.2">
      <c r="A19">
        <v>18</v>
      </c>
      <c r="B19">
        <v>18</v>
      </c>
      <c r="C19" s="1">
        <v>46176</v>
      </c>
      <c r="D19">
        <v>5</v>
      </c>
      <c r="E19" t="str">
        <f>_xlfn.XLOOKUP(SalesTable[[#This Row],[product_id]],ProductsTable[product_id],ProductsTable[product_name],"Not Found")</f>
        <v>Standing Desk</v>
      </c>
      <c r="F19" t="str">
        <f>_xlfn.XLOOKUP(SalesTable[[#This Row],[product_id]],ProductsTable[product_id],ProductsTable[category],"Not Found")</f>
        <v>Office</v>
      </c>
      <c r="G19">
        <f>_xlfn.XLOOKUP(VALUE(SalesTable[[#This Row],[product_id]]),ProductsTable[product_id],ProductsTable[unit_price],"Not Found")</f>
        <v>191.24</v>
      </c>
      <c r="H19">
        <f>SalesTable[[#This Row],[quantity]]*SalesTable[[#This Row],[unit_price]]</f>
        <v>956.2</v>
      </c>
    </row>
    <row r="20" spans="1:8" x14ac:dyDescent="0.2">
      <c r="A20">
        <v>19</v>
      </c>
      <c r="B20">
        <v>19</v>
      </c>
      <c r="C20" s="1">
        <v>46186</v>
      </c>
      <c r="D20">
        <v>1</v>
      </c>
      <c r="E20" t="str">
        <f>_xlfn.XLOOKUP(SalesTable[[#This Row],[product_id]],ProductsTable[product_id],ProductsTable[product_name],"Not Found")</f>
        <v>Monitor Arm</v>
      </c>
      <c r="F20" t="str">
        <f>_xlfn.XLOOKUP(SalesTable[[#This Row],[product_id]],ProductsTable[product_id],ProductsTable[category],"Not Found")</f>
        <v>Office</v>
      </c>
      <c r="G20">
        <f>_xlfn.XLOOKUP(VALUE(SalesTable[[#This Row],[product_id]]),ProductsTable[product_id],ProductsTable[unit_price],"Not Found")</f>
        <v>250.25</v>
      </c>
      <c r="H20">
        <f>SalesTable[[#This Row],[quantity]]*SalesTable[[#This Row],[unit_price]]</f>
        <v>250.25</v>
      </c>
    </row>
    <row r="21" spans="1:8" x14ac:dyDescent="0.2">
      <c r="A21">
        <v>20</v>
      </c>
      <c r="B21">
        <v>20</v>
      </c>
      <c r="C21" s="1">
        <v>46183</v>
      </c>
      <c r="D21">
        <v>2</v>
      </c>
      <c r="E21" t="str">
        <f>_xlfn.XLOOKUP(SalesTable[[#This Row],[product_id]],ProductsTable[product_id],ProductsTable[product_name],"Not Found")</f>
        <v>Keyboard Tray</v>
      </c>
      <c r="F21" t="str">
        <f>_xlfn.XLOOKUP(SalesTable[[#This Row],[product_id]],ProductsTable[product_id],ProductsTable[category],"Not Found")</f>
        <v>Office</v>
      </c>
      <c r="G21">
        <f>_xlfn.XLOOKUP(VALUE(SalesTable[[#This Row],[product_id]]),ProductsTable[product_id],ProductsTable[unit_price],"Not Found")</f>
        <v>62.2</v>
      </c>
      <c r="H21">
        <f>SalesTable[[#This Row],[quantity]]*SalesTable[[#This Row],[unit_price]]</f>
        <v>124.4</v>
      </c>
    </row>
    <row r="22" spans="1:8" x14ac:dyDescent="0.2">
      <c r="A22">
        <v>21</v>
      </c>
      <c r="B22">
        <v>21</v>
      </c>
      <c r="C22" s="1">
        <v>46230</v>
      </c>
      <c r="D22">
        <v>7</v>
      </c>
      <c r="E22" t="str">
        <f>_xlfn.XLOOKUP(SalesTable[[#This Row],[product_id]],ProductsTable[product_id],ProductsTable[product_name],"Not Found")</f>
        <v>Wi-Fi Router</v>
      </c>
      <c r="F22" t="str">
        <f>_xlfn.XLOOKUP(SalesTable[[#This Row],[product_id]],ProductsTable[product_id],ProductsTable[category],"Not Found")</f>
        <v>Networking</v>
      </c>
      <c r="G22">
        <f>_xlfn.XLOOKUP(VALUE(SalesTable[[#This Row],[product_id]]),ProductsTable[product_id],ProductsTable[unit_price],"Not Found")</f>
        <v>147.08000000000001</v>
      </c>
      <c r="H22">
        <f>SalesTable[[#This Row],[quantity]]*SalesTable[[#This Row],[unit_price]]</f>
        <v>1029.5600000000002</v>
      </c>
    </row>
    <row r="23" spans="1:8" x14ac:dyDescent="0.2">
      <c r="A23">
        <v>22</v>
      </c>
      <c r="B23">
        <v>22</v>
      </c>
      <c r="C23" s="1">
        <v>46241</v>
      </c>
      <c r="D23">
        <v>3</v>
      </c>
      <c r="E23" t="str">
        <f>_xlfn.XLOOKUP(SalesTable[[#This Row],[product_id]],ProductsTable[product_id],ProductsTable[product_name],"Not Found")</f>
        <v>Network Switch</v>
      </c>
      <c r="F23" t="str">
        <f>_xlfn.XLOOKUP(SalesTable[[#This Row],[product_id]],ProductsTable[product_id],ProductsTable[category],"Not Found")</f>
        <v>Networking</v>
      </c>
      <c r="G23">
        <f>_xlfn.XLOOKUP(VALUE(SalesTable[[#This Row],[product_id]]),ProductsTable[product_id],ProductsTable[unit_price],"Not Found")</f>
        <v>341.92</v>
      </c>
      <c r="H23">
        <f>SalesTable[[#This Row],[quantity]]*SalesTable[[#This Row],[unit_price]]</f>
        <v>1025.76</v>
      </c>
    </row>
    <row r="24" spans="1:8" x14ac:dyDescent="0.2">
      <c r="A24">
        <v>23</v>
      </c>
      <c r="B24">
        <v>23</v>
      </c>
      <c r="C24" s="1">
        <v>46204</v>
      </c>
      <c r="D24">
        <v>1</v>
      </c>
      <c r="E24" t="str">
        <f>_xlfn.XLOOKUP(SalesTable[[#This Row],[product_id]],ProductsTable[product_id],ProductsTable[product_name],"Not Found")</f>
        <v>Wi-Fi Extender</v>
      </c>
      <c r="F24" t="str">
        <f>_xlfn.XLOOKUP(SalesTable[[#This Row],[product_id]],ProductsTable[product_id],ProductsTable[category],"Not Found")</f>
        <v>Networking</v>
      </c>
      <c r="G24">
        <f>_xlfn.XLOOKUP(VALUE(SalesTable[[#This Row],[product_id]]),ProductsTable[product_id],ProductsTable[unit_price],"Not Found")</f>
        <v>519.54999999999995</v>
      </c>
      <c r="H24">
        <f>SalesTable[[#This Row],[quantity]]*SalesTable[[#This Row],[unit_price]]</f>
        <v>519.54999999999995</v>
      </c>
    </row>
    <row r="25" spans="1:8" x14ac:dyDescent="0.2">
      <c r="A25">
        <v>24</v>
      </c>
      <c r="B25">
        <v>24</v>
      </c>
      <c r="C25" s="1">
        <v>46165</v>
      </c>
      <c r="D25">
        <v>8</v>
      </c>
      <c r="E25" t="str">
        <f>_xlfn.XLOOKUP(SalesTable[[#This Row],[product_id]],ProductsTable[product_id],ProductsTable[product_name],"Not Found")</f>
        <v>Ethernet Adapter</v>
      </c>
      <c r="F25" t="str">
        <f>_xlfn.XLOOKUP(SalesTable[[#This Row],[product_id]],ProductsTable[product_id],ProductsTable[category],"Not Found")</f>
        <v>Networking</v>
      </c>
      <c r="G25">
        <f>_xlfn.XLOOKUP(VALUE(SalesTable[[#This Row],[product_id]]),ProductsTable[product_id],ProductsTable[unit_price],"Not Found")</f>
        <v>486.94</v>
      </c>
      <c r="H25">
        <f>SalesTable[[#This Row],[quantity]]*SalesTable[[#This Row],[unit_price]]</f>
        <v>3895.52</v>
      </c>
    </row>
    <row r="26" spans="1:8" x14ac:dyDescent="0.2">
      <c r="A26">
        <v>25</v>
      </c>
      <c r="B26">
        <v>25</v>
      </c>
      <c r="C26" s="1">
        <v>46220</v>
      </c>
      <c r="D26">
        <v>4</v>
      </c>
      <c r="E26" t="str">
        <f>_xlfn.XLOOKUP(SalesTable[[#This Row],[product_id]],ProductsTable[product_id],ProductsTable[product_name],"Not Found")</f>
        <v>Mesh Wi-Fi System</v>
      </c>
      <c r="F26" t="str">
        <f>_xlfn.XLOOKUP(SalesTable[[#This Row],[product_id]],ProductsTable[product_id],ProductsTable[category],"Not Found")</f>
        <v>Networking</v>
      </c>
      <c r="G26">
        <f>_xlfn.XLOOKUP(VALUE(SalesTable[[#This Row],[product_id]]),ProductsTable[product_id],ProductsTable[unit_price],"Not Found")</f>
        <v>472.01</v>
      </c>
      <c r="H26">
        <f>SalesTable[[#This Row],[quantity]]*SalesTable[[#This Row],[unit_price]]</f>
        <v>1888.04</v>
      </c>
    </row>
    <row r="27" spans="1:8" x14ac:dyDescent="0.2">
      <c r="A27">
        <v>26</v>
      </c>
      <c r="B27">
        <v>13</v>
      </c>
      <c r="C27" s="1">
        <v>46230</v>
      </c>
      <c r="D27">
        <v>2</v>
      </c>
      <c r="E27" t="str">
        <f>_xlfn.XLOOKUP(SalesTable[[#This Row],[product_id]],ProductsTable[product_id],ProductsTable[product_name],"Not Found")</f>
        <v>Soundbar</v>
      </c>
      <c r="F27" t="str">
        <f>_xlfn.XLOOKUP(SalesTable[[#This Row],[product_id]],ProductsTable[product_id],ProductsTable[category],"Not Found")</f>
        <v>Audio</v>
      </c>
      <c r="G27">
        <f>_xlfn.XLOOKUP(VALUE(SalesTable[[#This Row],[product_id]]),ProductsTable[product_id],ProductsTable[unit_price],"Not Found")</f>
        <v>487.7</v>
      </c>
      <c r="H27">
        <f>SalesTable[[#This Row],[quantity]]*SalesTable[[#This Row],[unit_price]]</f>
        <v>975.4</v>
      </c>
    </row>
    <row r="28" spans="1:8" x14ac:dyDescent="0.2">
      <c r="A28">
        <v>27</v>
      </c>
      <c r="B28">
        <v>2</v>
      </c>
      <c r="C28" s="1">
        <v>46221</v>
      </c>
      <c r="D28">
        <v>5</v>
      </c>
      <c r="E28" t="str">
        <f>_xlfn.XLOOKUP(SalesTable[[#This Row],[product_id]],ProductsTable[product_id],ProductsTable[product_name],"Not Found")</f>
        <v>USB-C Cable</v>
      </c>
      <c r="F28" t="str">
        <f>_xlfn.XLOOKUP(SalesTable[[#This Row],[product_id]],ProductsTable[product_id],ProductsTable[category],"Not Found")</f>
        <v>Accessories</v>
      </c>
      <c r="G28">
        <f>_xlfn.XLOOKUP(VALUE(SalesTable[[#This Row],[product_id]]),ProductsTable[product_id],ProductsTable[unit_price],"Not Found")</f>
        <v>17.239999999999998</v>
      </c>
      <c r="H28">
        <f>SalesTable[[#This Row],[quantity]]*SalesTable[[#This Row],[unit_price]]</f>
        <v>86.199999999999989</v>
      </c>
    </row>
    <row r="29" spans="1:8" x14ac:dyDescent="0.2">
      <c r="A29">
        <v>28</v>
      </c>
      <c r="B29">
        <v>24</v>
      </c>
      <c r="C29" s="1">
        <v>46166</v>
      </c>
      <c r="D29">
        <v>6</v>
      </c>
      <c r="E29" t="str">
        <f>_xlfn.XLOOKUP(SalesTable[[#This Row],[product_id]],ProductsTable[product_id],ProductsTable[product_name],"Not Found")</f>
        <v>Ethernet Adapter</v>
      </c>
      <c r="F29" t="str">
        <f>_xlfn.XLOOKUP(SalesTable[[#This Row],[product_id]],ProductsTable[product_id],ProductsTable[category],"Not Found")</f>
        <v>Networking</v>
      </c>
      <c r="G29">
        <f>_xlfn.XLOOKUP(VALUE(SalesTable[[#This Row],[product_id]]),ProductsTable[product_id],ProductsTable[unit_price],"Not Found")</f>
        <v>486.94</v>
      </c>
      <c r="H29">
        <f>SalesTable[[#This Row],[quantity]]*SalesTable[[#This Row],[unit_price]]</f>
        <v>2921.64</v>
      </c>
    </row>
    <row r="30" spans="1:8" x14ac:dyDescent="0.2">
      <c r="A30">
        <v>29</v>
      </c>
      <c r="B30">
        <v>5</v>
      </c>
      <c r="C30" s="1">
        <v>46210</v>
      </c>
      <c r="D30">
        <v>10</v>
      </c>
      <c r="E30" t="str">
        <f>_xlfn.XLOOKUP(SalesTable[[#This Row],[product_id]],ProductsTable[product_id],ProductsTable[product_name],"Not Found")</f>
        <v>Mouse Pad</v>
      </c>
      <c r="F30" t="str">
        <f>_xlfn.XLOOKUP(SalesTable[[#This Row],[product_id]],ProductsTable[product_id],ProductsTable[category],"Not Found")</f>
        <v>Accessories</v>
      </c>
      <c r="G30">
        <f>_xlfn.XLOOKUP(VALUE(SalesTable[[#This Row],[product_id]]),ProductsTable[product_id],ProductsTable[unit_price],"Not Found")</f>
        <v>31.46</v>
      </c>
      <c r="H30">
        <f>SalesTable[[#This Row],[quantity]]*SalesTable[[#This Row],[unit_price]]</f>
        <v>314.60000000000002</v>
      </c>
    </row>
    <row r="31" spans="1:8" x14ac:dyDescent="0.2">
      <c r="A31">
        <v>30</v>
      </c>
      <c r="B31">
        <v>22</v>
      </c>
      <c r="C31" s="1">
        <v>46200</v>
      </c>
      <c r="D31">
        <v>7</v>
      </c>
      <c r="E31" t="str">
        <f>_xlfn.XLOOKUP(SalesTable[[#This Row],[product_id]],ProductsTable[product_id],ProductsTable[product_name],"Not Found")</f>
        <v>Network Switch</v>
      </c>
      <c r="F31" t="str">
        <f>_xlfn.XLOOKUP(SalesTable[[#This Row],[product_id]],ProductsTable[product_id],ProductsTable[category],"Not Found")</f>
        <v>Networking</v>
      </c>
      <c r="G31">
        <f>_xlfn.XLOOKUP(VALUE(SalesTable[[#This Row],[product_id]]),ProductsTable[product_id],ProductsTable[unit_price],"Not Found")</f>
        <v>341.92</v>
      </c>
      <c r="H31">
        <f>SalesTable[[#This Row],[quantity]]*SalesTable[[#This Row],[unit_price]]</f>
        <v>2393.44</v>
      </c>
    </row>
    <row r="32" spans="1:8" x14ac:dyDescent="0.2">
      <c r="A32">
        <v>31</v>
      </c>
      <c r="B32">
        <v>8</v>
      </c>
      <c r="C32" s="1">
        <v>46174</v>
      </c>
      <c r="D32">
        <v>2</v>
      </c>
      <c r="E32" t="str">
        <f>_xlfn.XLOOKUP(SalesTable[[#This Row],[product_id]],ProductsTable[product_id],ProductsTable[product_name],"Not Found")</f>
        <v>Desktop Computer</v>
      </c>
      <c r="F32" t="str">
        <f>_xlfn.XLOOKUP(SalesTable[[#This Row],[product_id]],ProductsTable[product_id],ProductsTable[category],"Not Found")</f>
        <v>Computer</v>
      </c>
      <c r="G32">
        <f>_xlfn.XLOOKUP(VALUE(SalesTable[[#This Row],[product_id]]),ProductsTable[product_id],ProductsTable[unit_price],"Not Found")</f>
        <v>1387.44</v>
      </c>
      <c r="H32">
        <f>SalesTable[[#This Row],[quantity]]*SalesTable[[#This Row],[unit_price]]</f>
        <v>2774.88</v>
      </c>
    </row>
    <row r="33" spans="1:8" x14ac:dyDescent="0.2">
      <c r="A33">
        <v>32</v>
      </c>
      <c r="B33">
        <v>9</v>
      </c>
      <c r="C33" s="1">
        <v>46233</v>
      </c>
      <c r="D33">
        <v>3</v>
      </c>
      <c r="E33" t="str">
        <f>_xlfn.XLOOKUP(SalesTable[[#This Row],[product_id]],ProductsTable[product_id],ProductsTable[product_name],"Not Found")</f>
        <v>Mini PC</v>
      </c>
      <c r="F33" t="str">
        <f>_xlfn.XLOOKUP(SalesTable[[#This Row],[product_id]],ProductsTable[product_id],ProductsTable[category],"Not Found")</f>
        <v>Computer</v>
      </c>
      <c r="G33">
        <f>_xlfn.XLOOKUP(VALUE(SalesTable[[#This Row],[product_id]]),ProductsTable[product_id],ProductsTable[unit_price],"Not Found")</f>
        <v>844.86</v>
      </c>
      <c r="H33">
        <f>SalesTable[[#This Row],[quantity]]*SalesTable[[#This Row],[unit_price]]</f>
        <v>2534.58</v>
      </c>
    </row>
    <row r="34" spans="1:8" x14ac:dyDescent="0.2">
      <c r="A34">
        <v>33</v>
      </c>
      <c r="B34">
        <v>17</v>
      </c>
      <c r="C34" s="1">
        <v>46250</v>
      </c>
      <c r="D34">
        <v>1</v>
      </c>
      <c r="E34" t="str">
        <f>_xlfn.XLOOKUP(SalesTable[[#This Row],[product_id]],ProductsTable[product_id],ProductsTable[product_name],"Not Found")</f>
        <v>Desk Lamp</v>
      </c>
      <c r="F34" t="str">
        <f>_xlfn.XLOOKUP(SalesTable[[#This Row],[product_id]],ProductsTable[product_id],ProductsTable[category],"Not Found")</f>
        <v>Office</v>
      </c>
      <c r="G34">
        <f>_xlfn.XLOOKUP(VALUE(SalesTable[[#This Row],[product_id]]),ProductsTable[product_id],ProductsTable[unit_price],"Not Found")</f>
        <v>25.28</v>
      </c>
      <c r="H34">
        <f>SalesTable[[#This Row],[quantity]]*SalesTable[[#This Row],[unit_price]]</f>
        <v>25.28</v>
      </c>
    </row>
    <row r="35" spans="1:8" x14ac:dyDescent="0.2">
      <c r="A35">
        <v>34</v>
      </c>
      <c r="B35">
        <v>12</v>
      </c>
      <c r="C35" s="1">
        <v>46245</v>
      </c>
      <c r="D35">
        <v>3</v>
      </c>
      <c r="E35" t="str">
        <f>_xlfn.XLOOKUP(SalesTable[[#This Row],[product_id]],ProductsTable[product_id],ProductsTable[product_name],"Not Found")</f>
        <v>Wireless Headphones</v>
      </c>
      <c r="F35" t="str">
        <f>_xlfn.XLOOKUP(SalesTable[[#This Row],[product_id]],ProductsTable[product_id],ProductsTable[category],"Not Found")</f>
        <v>Audio</v>
      </c>
      <c r="G35">
        <f>_xlfn.XLOOKUP(VALUE(SalesTable[[#This Row],[product_id]]),ProductsTable[product_id],ProductsTable[unit_price],"Not Found")</f>
        <v>358.79</v>
      </c>
      <c r="H35">
        <f>SalesTable[[#This Row],[quantity]]*SalesTable[[#This Row],[unit_price]]</f>
        <v>1076.3700000000001</v>
      </c>
    </row>
    <row r="36" spans="1:8" x14ac:dyDescent="0.2">
      <c r="A36">
        <v>35</v>
      </c>
      <c r="B36">
        <v>11</v>
      </c>
      <c r="C36" s="1">
        <v>46201</v>
      </c>
      <c r="D36">
        <v>5</v>
      </c>
      <c r="E36" t="str">
        <f>_xlfn.XLOOKUP(SalesTable[[#This Row],[product_id]],ProductsTable[product_id],ProductsTable[product_name],"Not Found")</f>
        <v>Bluetooth Speaker</v>
      </c>
      <c r="F36" t="str">
        <f>_xlfn.XLOOKUP(SalesTable[[#This Row],[product_id]],ProductsTable[product_id],ProductsTable[category],"Not Found")</f>
        <v>Audio</v>
      </c>
      <c r="G36">
        <f>_xlfn.XLOOKUP(VALUE(SalesTable[[#This Row],[product_id]]),ProductsTable[product_id],ProductsTable[unit_price],"Not Found")</f>
        <v>233.04</v>
      </c>
      <c r="H36">
        <f>SalesTable[[#This Row],[quantity]]*SalesTable[[#This Row],[unit_price]]</f>
        <v>1165.2</v>
      </c>
    </row>
    <row r="37" spans="1:8" x14ac:dyDescent="0.2">
      <c r="A37">
        <v>36</v>
      </c>
      <c r="B37">
        <v>21</v>
      </c>
      <c r="C37" s="1">
        <v>46239</v>
      </c>
      <c r="D37">
        <v>1</v>
      </c>
      <c r="E37" t="str">
        <f>_xlfn.XLOOKUP(SalesTable[[#This Row],[product_id]],ProductsTable[product_id],ProductsTable[product_name],"Not Found")</f>
        <v>Wi-Fi Router</v>
      </c>
      <c r="F37" t="str">
        <f>_xlfn.XLOOKUP(SalesTable[[#This Row],[product_id]],ProductsTable[product_id],ProductsTable[category],"Not Found")</f>
        <v>Networking</v>
      </c>
      <c r="G37">
        <f>_xlfn.XLOOKUP(VALUE(SalesTable[[#This Row],[product_id]]),ProductsTable[product_id],ProductsTable[unit_price],"Not Found")</f>
        <v>147.08000000000001</v>
      </c>
      <c r="H37">
        <f>SalesTable[[#This Row],[quantity]]*SalesTable[[#This Row],[unit_price]]</f>
        <v>147.08000000000001</v>
      </c>
    </row>
    <row r="38" spans="1:8" x14ac:dyDescent="0.2">
      <c r="A38">
        <v>37</v>
      </c>
      <c r="B38">
        <v>5</v>
      </c>
      <c r="C38" s="1">
        <v>46190</v>
      </c>
      <c r="D38">
        <v>5</v>
      </c>
      <c r="E38" t="str">
        <f>_xlfn.XLOOKUP(SalesTable[[#This Row],[product_id]],ProductsTable[product_id],ProductsTable[product_name],"Not Found")</f>
        <v>Mouse Pad</v>
      </c>
      <c r="F38" t="str">
        <f>_xlfn.XLOOKUP(SalesTable[[#This Row],[product_id]],ProductsTable[product_id],ProductsTable[category],"Not Found")</f>
        <v>Accessories</v>
      </c>
      <c r="G38">
        <f>_xlfn.XLOOKUP(VALUE(SalesTable[[#This Row],[product_id]]),ProductsTable[product_id],ProductsTable[unit_price],"Not Found")</f>
        <v>31.46</v>
      </c>
      <c r="H38">
        <f>SalesTable[[#This Row],[quantity]]*SalesTable[[#This Row],[unit_price]]</f>
        <v>157.30000000000001</v>
      </c>
    </row>
    <row r="39" spans="1:8" x14ac:dyDescent="0.2">
      <c r="A39">
        <v>38</v>
      </c>
      <c r="B39">
        <v>17</v>
      </c>
      <c r="C39" s="1">
        <v>46182</v>
      </c>
      <c r="D39">
        <v>4</v>
      </c>
      <c r="E39" t="str">
        <f>_xlfn.XLOOKUP(SalesTable[[#This Row],[product_id]],ProductsTable[product_id],ProductsTable[product_name],"Not Found")</f>
        <v>Desk Lamp</v>
      </c>
      <c r="F39" t="str">
        <f>_xlfn.XLOOKUP(SalesTable[[#This Row],[product_id]],ProductsTable[product_id],ProductsTable[category],"Not Found")</f>
        <v>Office</v>
      </c>
      <c r="G39">
        <f>_xlfn.XLOOKUP(VALUE(SalesTable[[#This Row],[product_id]]),ProductsTable[product_id],ProductsTable[unit_price],"Not Found")</f>
        <v>25.28</v>
      </c>
      <c r="H39">
        <f>SalesTable[[#This Row],[quantity]]*SalesTable[[#This Row],[unit_price]]</f>
        <v>101.12</v>
      </c>
    </row>
    <row r="40" spans="1:8" x14ac:dyDescent="0.2">
      <c r="A40">
        <v>39</v>
      </c>
      <c r="B40">
        <v>21</v>
      </c>
      <c r="C40" s="1">
        <v>46215</v>
      </c>
      <c r="D40">
        <v>5</v>
      </c>
      <c r="E40" t="str">
        <f>_xlfn.XLOOKUP(SalesTable[[#This Row],[product_id]],ProductsTable[product_id],ProductsTable[product_name],"Not Found")</f>
        <v>Wi-Fi Router</v>
      </c>
      <c r="F40" t="str">
        <f>_xlfn.XLOOKUP(SalesTable[[#This Row],[product_id]],ProductsTable[product_id],ProductsTable[category],"Not Found")</f>
        <v>Networking</v>
      </c>
      <c r="G40">
        <f>_xlfn.XLOOKUP(VALUE(SalesTable[[#This Row],[product_id]]),ProductsTable[product_id],ProductsTable[unit_price],"Not Found")</f>
        <v>147.08000000000001</v>
      </c>
      <c r="H40">
        <f>SalesTable[[#This Row],[quantity]]*SalesTable[[#This Row],[unit_price]]</f>
        <v>735.40000000000009</v>
      </c>
    </row>
    <row r="41" spans="1:8" x14ac:dyDescent="0.2">
      <c r="A41">
        <v>40</v>
      </c>
      <c r="B41">
        <v>10</v>
      </c>
      <c r="C41" s="1">
        <v>46246</v>
      </c>
      <c r="D41">
        <v>2</v>
      </c>
      <c r="E41" t="str">
        <f>_xlfn.XLOOKUP(SalesTable[[#This Row],[product_id]],ProductsTable[product_id],ProductsTable[product_name],"Not Found")</f>
        <v>Workstation</v>
      </c>
      <c r="F41" t="str">
        <f>_xlfn.XLOOKUP(SalesTable[[#This Row],[product_id]],ProductsTable[product_id],ProductsTable[category],"Not Found")</f>
        <v>Computer</v>
      </c>
      <c r="G41">
        <f>_xlfn.XLOOKUP(VALUE(SalesTable[[#This Row],[product_id]]),ProductsTable[product_id],ProductsTable[unit_price],"Not Found")</f>
        <v>718.81</v>
      </c>
      <c r="H41">
        <f>SalesTable[[#This Row],[quantity]]*SalesTable[[#This Row],[unit_price]]</f>
        <v>1437.62</v>
      </c>
    </row>
    <row r="42" spans="1:8" x14ac:dyDescent="0.2">
      <c r="A42">
        <v>41</v>
      </c>
      <c r="B42">
        <v>15</v>
      </c>
      <c r="C42" s="1">
        <v>46201</v>
      </c>
      <c r="D42">
        <v>5</v>
      </c>
      <c r="E42" t="str">
        <f>_xlfn.XLOOKUP(SalesTable[[#This Row],[product_id]],ProductsTable[product_id],ProductsTable[product_name],"Not Found")</f>
        <v>Wireless Earbuds</v>
      </c>
      <c r="F42" t="str">
        <f>_xlfn.XLOOKUP(SalesTable[[#This Row],[product_id]],ProductsTable[product_id],ProductsTable[category],"Not Found")</f>
        <v>Audio</v>
      </c>
      <c r="G42">
        <f>_xlfn.XLOOKUP(VALUE(SalesTable[[#This Row],[product_id]]),ProductsTable[product_id],ProductsTable[unit_price],"Not Found")</f>
        <v>250.32</v>
      </c>
      <c r="H42">
        <f>SalesTable[[#This Row],[quantity]]*SalesTable[[#This Row],[unit_price]]</f>
        <v>1251.5999999999999</v>
      </c>
    </row>
    <row r="43" spans="1:8" x14ac:dyDescent="0.2">
      <c r="A43">
        <v>42</v>
      </c>
      <c r="B43">
        <v>20</v>
      </c>
      <c r="C43" s="1">
        <v>46230</v>
      </c>
      <c r="D43">
        <v>4</v>
      </c>
      <c r="E43" t="str">
        <f>_xlfn.XLOOKUP(SalesTable[[#This Row],[product_id]],ProductsTable[product_id],ProductsTable[product_name],"Not Found")</f>
        <v>Keyboard Tray</v>
      </c>
      <c r="F43" t="str">
        <f>_xlfn.XLOOKUP(SalesTable[[#This Row],[product_id]],ProductsTable[product_id],ProductsTable[category],"Not Found")</f>
        <v>Office</v>
      </c>
      <c r="G43">
        <f>_xlfn.XLOOKUP(VALUE(SalesTable[[#This Row],[product_id]]),ProductsTable[product_id],ProductsTable[unit_price],"Not Found")</f>
        <v>62.2</v>
      </c>
      <c r="H43">
        <f>SalesTable[[#This Row],[quantity]]*SalesTable[[#This Row],[unit_price]]</f>
        <v>248.8</v>
      </c>
    </row>
    <row r="44" spans="1:8" x14ac:dyDescent="0.2">
      <c r="A44">
        <v>43</v>
      </c>
      <c r="B44">
        <v>23</v>
      </c>
      <c r="C44" s="1">
        <v>46242</v>
      </c>
      <c r="D44">
        <v>3</v>
      </c>
      <c r="E44" t="str">
        <f>_xlfn.XLOOKUP(SalesTable[[#This Row],[product_id]],ProductsTable[product_id],ProductsTable[product_name],"Not Found")</f>
        <v>Wi-Fi Extender</v>
      </c>
      <c r="F44" t="str">
        <f>_xlfn.XLOOKUP(SalesTable[[#This Row],[product_id]],ProductsTable[product_id],ProductsTable[category],"Not Found")</f>
        <v>Networking</v>
      </c>
      <c r="G44">
        <f>_xlfn.XLOOKUP(VALUE(SalesTable[[#This Row],[product_id]]),ProductsTable[product_id],ProductsTable[unit_price],"Not Found")</f>
        <v>519.54999999999995</v>
      </c>
      <c r="H44">
        <f>SalesTable[[#This Row],[quantity]]*SalesTable[[#This Row],[unit_price]]</f>
        <v>1558.6499999999999</v>
      </c>
    </row>
    <row r="45" spans="1:8" x14ac:dyDescent="0.2">
      <c r="A45">
        <v>44</v>
      </c>
      <c r="B45">
        <v>10</v>
      </c>
      <c r="C45" s="1">
        <v>46179</v>
      </c>
      <c r="D45">
        <v>3</v>
      </c>
      <c r="E45" t="str">
        <f>_xlfn.XLOOKUP(SalesTable[[#This Row],[product_id]],ProductsTable[product_id],ProductsTable[product_name],"Not Found")</f>
        <v>Workstation</v>
      </c>
      <c r="F45" t="str">
        <f>_xlfn.XLOOKUP(SalesTable[[#This Row],[product_id]],ProductsTable[product_id],ProductsTable[category],"Not Found")</f>
        <v>Computer</v>
      </c>
      <c r="G45">
        <f>_xlfn.XLOOKUP(VALUE(SalesTable[[#This Row],[product_id]]),ProductsTable[product_id],ProductsTable[unit_price],"Not Found")</f>
        <v>718.81</v>
      </c>
      <c r="H45">
        <f>SalesTable[[#This Row],[quantity]]*SalesTable[[#This Row],[unit_price]]</f>
        <v>2156.4299999999998</v>
      </c>
    </row>
    <row r="46" spans="1:8" x14ac:dyDescent="0.2">
      <c r="A46">
        <v>45</v>
      </c>
      <c r="B46">
        <v>9</v>
      </c>
      <c r="C46" s="1">
        <v>46176</v>
      </c>
      <c r="D46">
        <v>3</v>
      </c>
      <c r="E46" t="str">
        <f>_xlfn.XLOOKUP(SalesTable[[#This Row],[product_id]],ProductsTable[product_id],ProductsTable[product_name],"Not Found")</f>
        <v>Mini PC</v>
      </c>
      <c r="F46" t="str">
        <f>_xlfn.XLOOKUP(SalesTable[[#This Row],[product_id]],ProductsTable[product_id],ProductsTable[category],"Not Found")</f>
        <v>Computer</v>
      </c>
      <c r="G46">
        <f>_xlfn.XLOOKUP(VALUE(SalesTable[[#This Row],[product_id]]),ProductsTable[product_id],ProductsTable[unit_price],"Not Found")</f>
        <v>844.86</v>
      </c>
      <c r="H46">
        <f>SalesTable[[#This Row],[quantity]]*SalesTable[[#This Row],[unit_price]]</f>
        <v>2534.58</v>
      </c>
    </row>
    <row r="47" spans="1:8" x14ac:dyDescent="0.2">
      <c r="A47">
        <v>46</v>
      </c>
      <c r="B47">
        <v>7</v>
      </c>
      <c r="C47" s="1">
        <v>46167</v>
      </c>
      <c r="D47">
        <v>2</v>
      </c>
      <c r="E47" t="str">
        <f>_xlfn.XLOOKUP(SalesTable[[#This Row],[product_id]],ProductsTable[product_id],ProductsTable[product_name],"Not Found")</f>
        <v>Gaming Laptop</v>
      </c>
      <c r="F47" t="str">
        <f>_xlfn.XLOOKUP(SalesTable[[#This Row],[product_id]],ProductsTable[product_id],ProductsTable[category],"Not Found")</f>
        <v>Computer</v>
      </c>
      <c r="G47">
        <f>_xlfn.XLOOKUP(VALUE(SalesTable[[#This Row],[product_id]]),ProductsTable[product_id],ProductsTable[unit_price],"Not Found")</f>
        <v>1107.2</v>
      </c>
      <c r="H47">
        <f>SalesTable[[#This Row],[quantity]]*SalesTable[[#This Row],[unit_price]]</f>
        <v>2214.4</v>
      </c>
    </row>
    <row r="48" spans="1:8" x14ac:dyDescent="0.2">
      <c r="A48">
        <v>47</v>
      </c>
      <c r="B48">
        <v>25</v>
      </c>
      <c r="C48" s="1">
        <v>46237</v>
      </c>
      <c r="D48">
        <v>7</v>
      </c>
      <c r="E48" t="str">
        <f>_xlfn.XLOOKUP(SalesTable[[#This Row],[product_id]],ProductsTable[product_id],ProductsTable[product_name],"Not Found")</f>
        <v>Mesh Wi-Fi System</v>
      </c>
      <c r="F48" t="str">
        <f>_xlfn.XLOOKUP(SalesTable[[#This Row],[product_id]],ProductsTable[product_id],ProductsTable[category],"Not Found")</f>
        <v>Networking</v>
      </c>
      <c r="G48">
        <f>_xlfn.XLOOKUP(VALUE(SalesTable[[#This Row],[product_id]]),ProductsTable[product_id],ProductsTable[unit_price],"Not Found")</f>
        <v>472.01</v>
      </c>
      <c r="H48">
        <f>SalesTable[[#This Row],[quantity]]*SalesTable[[#This Row],[unit_price]]</f>
        <v>3304.0699999999997</v>
      </c>
    </row>
    <row r="49" spans="1:8" x14ac:dyDescent="0.2">
      <c r="A49">
        <v>48</v>
      </c>
      <c r="B49">
        <v>6</v>
      </c>
      <c r="C49" s="1">
        <v>46223</v>
      </c>
      <c r="D49">
        <v>2</v>
      </c>
      <c r="E49" t="str">
        <f>_xlfn.XLOOKUP(SalesTable[[#This Row],[product_id]],ProductsTable[product_id],ProductsTable[product_name],"Not Found")</f>
        <v>Business Laptop</v>
      </c>
      <c r="F49" t="str">
        <f>_xlfn.XLOOKUP(SalesTable[[#This Row],[product_id]],ProductsTable[product_id],ProductsTable[category],"Not Found")</f>
        <v>Computer</v>
      </c>
      <c r="G49">
        <f>_xlfn.XLOOKUP(VALUE(SalesTable[[#This Row],[product_id]]),ProductsTable[product_id],ProductsTable[unit_price],"Not Found")</f>
        <v>146.37</v>
      </c>
      <c r="H49">
        <f>SalesTable[[#This Row],[quantity]]*SalesTable[[#This Row],[unit_price]]</f>
        <v>292.74</v>
      </c>
    </row>
    <row r="50" spans="1:8" x14ac:dyDescent="0.2">
      <c r="A50">
        <v>49</v>
      </c>
      <c r="B50">
        <v>23</v>
      </c>
      <c r="C50" s="1">
        <v>46196</v>
      </c>
      <c r="D50">
        <v>7</v>
      </c>
      <c r="E50" t="str">
        <f>_xlfn.XLOOKUP(SalesTable[[#This Row],[product_id]],ProductsTable[product_id],ProductsTable[product_name],"Not Found")</f>
        <v>Wi-Fi Extender</v>
      </c>
      <c r="F50" t="str">
        <f>_xlfn.XLOOKUP(SalesTable[[#This Row],[product_id]],ProductsTable[product_id],ProductsTable[category],"Not Found")</f>
        <v>Networking</v>
      </c>
      <c r="G50">
        <f>_xlfn.XLOOKUP(VALUE(SalesTable[[#This Row],[product_id]]),ProductsTable[product_id],ProductsTable[unit_price],"Not Found")</f>
        <v>519.54999999999995</v>
      </c>
      <c r="H50">
        <f>SalesTable[[#This Row],[quantity]]*SalesTable[[#This Row],[unit_price]]</f>
        <v>3636.8499999999995</v>
      </c>
    </row>
    <row r="51" spans="1:8" x14ac:dyDescent="0.2">
      <c r="A51">
        <v>50</v>
      </c>
      <c r="B51">
        <v>6</v>
      </c>
      <c r="C51" s="1">
        <v>46233</v>
      </c>
      <c r="D51">
        <v>1</v>
      </c>
      <c r="E51" t="str">
        <f>_xlfn.XLOOKUP(SalesTable[[#This Row],[product_id]],ProductsTable[product_id],ProductsTable[product_name],"Not Found")</f>
        <v>Business Laptop</v>
      </c>
      <c r="F51" t="str">
        <f>_xlfn.XLOOKUP(SalesTable[[#This Row],[product_id]],ProductsTable[product_id],ProductsTable[category],"Not Found")</f>
        <v>Computer</v>
      </c>
      <c r="G51">
        <f>_xlfn.XLOOKUP(VALUE(SalesTable[[#This Row],[product_id]]),ProductsTable[product_id],ProductsTable[unit_price],"Not Found")</f>
        <v>146.37</v>
      </c>
      <c r="H51">
        <f>SalesTable[[#This Row],[quantity]]*SalesTable[[#This Row],[unit_price]]</f>
        <v>146.37</v>
      </c>
    </row>
    <row r="52" spans="1:8" x14ac:dyDescent="0.2">
      <c r="A52">
        <v>51</v>
      </c>
      <c r="B52">
        <v>19</v>
      </c>
      <c r="C52" s="1">
        <v>46213</v>
      </c>
      <c r="D52">
        <v>4</v>
      </c>
      <c r="E52" t="str">
        <f>_xlfn.XLOOKUP(SalesTable[[#This Row],[product_id]],ProductsTable[product_id],ProductsTable[product_name],"Not Found")</f>
        <v>Monitor Arm</v>
      </c>
      <c r="F52" t="str">
        <f>_xlfn.XLOOKUP(SalesTable[[#This Row],[product_id]],ProductsTable[product_id],ProductsTable[category],"Not Found")</f>
        <v>Office</v>
      </c>
      <c r="G52">
        <f>_xlfn.XLOOKUP(VALUE(SalesTable[[#This Row],[product_id]]),ProductsTable[product_id],ProductsTable[unit_price],"Not Found")</f>
        <v>250.25</v>
      </c>
      <c r="H52">
        <f>SalesTable[[#This Row],[quantity]]*SalesTable[[#This Row],[unit_price]]</f>
        <v>1001</v>
      </c>
    </row>
    <row r="53" spans="1:8" x14ac:dyDescent="0.2">
      <c r="A53">
        <v>52</v>
      </c>
      <c r="B53">
        <v>22</v>
      </c>
      <c r="C53" s="1">
        <v>46222</v>
      </c>
      <c r="D53">
        <v>1</v>
      </c>
      <c r="E53" t="str">
        <f>_xlfn.XLOOKUP(SalesTable[[#This Row],[product_id]],ProductsTable[product_id],ProductsTable[product_name],"Not Found")</f>
        <v>Network Switch</v>
      </c>
      <c r="F53" t="str">
        <f>_xlfn.XLOOKUP(SalesTable[[#This Row],[product_id]],ProductsTable[product_id],ProductsTable[category],"Not Found")</f>
        <v>Networking</v>
      </c>
      <c r="G53">
        <f>_xlfn.XLOOKUP(VALUE(SalesTable[[#This Row],[product_id]]),ProductsTable[product_id],ProductsTable[unit_price],"Not Found")</f>
        <v>341.92</v>
      </c>
      <c r="H53">
        <f>SalesTable[[#This Row],[quantity]]*SalesTable[[#This Row],[unit_price]]</f>
        <v>341.92</v>
      </c>
    </row>
    <row r="54" spans="1:8" x14ac:dyDescent="0.2">
      <c r="A54">
        <v>53</v>
      </c>
      <c r="B54">
        <v>15</v>
      </c>
      <c r="C54" s="1">
        <v>46164</v>
      </c>
      <c r="D54">
        <v>4</v>
      </c>
      <c r="E54" t="str">
        <f>_xlfn.XLOOKUP(SalesTable[[#This Row],[product_id]],ProductsTable[product_id],ProductsTable[product_name],"Not Found")</f>
        <v>Wireless Earbuds</v>
      </c>
      <c r="F54" t="str">
        <f>_xlfn.XLOOKUP(SalesTable[[#This Row],[product_id]],ProductsTable[product_id],ProductsTable[category],"Not Found")</f>
        <v>Audio</v>
      </c>
      <c r="G54">
        <f>_xlfn.XLOOKUP(VALUE(SalesTable[[#This Row],[product_id]]),ProductsTable[product_id],ProductsTable[unit_price],"Not Found")</f>
        <v>250.32</v>
      </c>
      <c r="H54">
        <f>SalesTable[[#This Row],[quantity]]*SalesTable[[#This Row],[unit_price]]</f>
        <v>1001.28</v>
      </c>
    </row>
    <row r="55" spans="1:8" x14ac:dyDescent="0.2">
      <c r="A55">
        <v>54</v>
      </c>
      <c r="B55">
        <v>3</v>
      </c>
      <c r="C55" s="1">
        <v>46205</v>
      </c>
      <c r="D55">
        <v>1</v>
      </c>
      <c r="E55" t="str">
        <f>_xlfn.XLOOKUP(SalesTable[[#This Row],[product_id]],ProductsTable[product_id],ProductsTable[product_name],"Not Found")</f>
        <v>Laptop Stand</v>
      </c>
      <c r="F55" t="str">
        <f>_xlfn.XLOOKUP(SalesTable[[#This Row],[product_id]],ProductsTable[product_id],ProductsTable[category],"Not Found")</f>
        <v>Accessories</v>
      </c>
      <c r="G55">
        <f>_xlfn.XLOOKUP(VALUE(SalesTable[[#This Row],[product_id]]),ProductsTable[product_id],ProductsTable[unit_price],"Not Found")</f>
        <v>38.270000000000003</v>
      </c>
      <c r="H55">
        <f>SalesTable[[#This Row],[quantity]]*SalesTable[[#This Row],[unit_price]]</f>
        <v>38.270000000000003</v>
      </c>
    </row>
    <row r="56" spans="1:8" x14ac:dyDescent="0.2">
      <c r="A56">
        <v>55</v>
      </c>
      <c r="B56">
        <v>15</v>
      </c>
      <c r="C56" s="1">
        <v>46218</v>
      </c>
      <c r="D56">
        <v>2</v>
      </c>
      <c r="E56" t="str">
        <f>_xlfn.XLOOKUP(SalesTable[[#This Row],[product_id]],ProductsTable[product_id],ProductsTable[product_name],"Not Found")</f>
        <v>Wireless Earbuds</v>
      </c>
      <c r="F56" t="str">
        <f>_xlfn.XLOOKUP(SalesTable[[#This Row],[product_id]],ProductsTable[product_id],ProductsTable[category],"Not Found")</f>
        <v>Audio</v>
      </c>
      <c r="G56">
        <f>_xlfn.XLOOKUP(VALUE(SalesTable[[#This Row],[product_id]]),ProductsTable[product_id],ProductsTable[unit_price],"Not Found")</f>
        <v>250.32</v>
      </c>
      <c r="H56">
        <f>SalesTable[[#This Row],[quantity]]*SalesTable[[#This Row],[unit_price]]</f>
        <v>500.64</v>
      </c>
    </row>
    <row r="57" spans="1:8" x14ac:dyDescent="0.2">
      <c r="A57">
        <v>56</v>
      </c>
      <c r="B57">
        <v>14</v>
      </c>
      <c r="C57" s="1">
        <v>46217</v>
      </c>
      <c r="D57">
        <v>3</v>
      </c>
      <c r="E57" t="str">
        <f>_xlfn.XLOOKUP(SalesTable[[#This Row],[product_id]],ProductsTable[product_id],ProductsTable[product_name],"Not Found")</f>
        <v>USB Microphone</v>
      </c>
      <c r="F57" t="str">
        <f>_xlfn.XLOOKUP(SalesTable[[#This Row],[product_id]],ProductsTable[product_id],ProductsTable[category],"Not Found")</f>
        <v>Audio</v>
      </c>
      <c r="G57">
        <f>_xlfn.XLOOKUP(VALUE(SalesTable[[#This Row],[product_id]]),ProductsTable[product_id],ProductsTable[unit_price],"Not Found")</f>
        <v>176.19</v>
      </c>
      <c r="H57">
        <f>SalesTable[[#This Row],[quantity]]*SalesTable[[#This Row],[unit_price]]</f>
        <v>528.56999999999994</v>
      </c>
    </row>
    <row r="58" spans="1:8" x14ac:dyDescent="0.2">
      <c r="A58">
        <v>57</v>
      </c>
      <c r="B58">
        <v>12</v>
      </c>
      <c r="C58" s="1">
        <v>46171</v>
      </c>
      <c r="D58">
        <v>2</v>
      </c>
      <c r="E58" t="str">
        <f>_xlfn.XLOOKUP(SalesTable[[#This Row],[product_id]],ProductsTable[product_id],ProductsTable[product_name],"Not Found")</f>
        <v>Wireless Headphones</v>
      </c>
      <c r="F58" t="str">
        <f>_xlfn.XLOOKUP(SalesTable[[#This Row],[product_id]],ProductsTable[product_id],ProductsTable[category],"Not Found")</f>
        <v>Audio</v>
      </c>
      <c r="G58">
        <f>_xlfn.XLOOKUP(VALUE(SalesTable[[#This Row],[product_id]]),ProductsTable[product_id],ProductsTable[unit_price],"Not Found")</f>
        <v>358.79</v>
      </c>
      <c r="H58">
        <f>SalesTable[[#This Row],[quantity]]*SalesTable[[#This Row],[unit_price]]</f>
        <v>717.58</v>
      </c>
    </row>
    <row r="59" spans="1:8" x14ac:dyDescent="0.2">
      <c r="A59">
        <v>58</v>
      </c>
      <c r="B59">
        <v>10</v>
      </c>
      <c r="C59" s="1">
        <v>46166</v>
      </c>
      <c r="D59">
        <v>3</v>
      </c>
      <c r="E59" t="str">
        <f>_xlfn.XLOOKUP(SalesTable[[#This Row],[product_id]],ProductsTable[product_id],ProductsTable[product_name],"Not Found")</f>
        <v>Workstation</v>
      </c>
      <c r="F59" t="str">
        <f>_xlfn.XLOOKUP(SalesTable[[#This Row],[product_id]],ProductsTable[product_id],ProductsTable[category],"Not Found")</f>
        <v>Computer</v>
      </c>
      <c r="G59">
        <f>_xlfn.XLOOKUP(VALUE(SalesTable[[#This Row],[product_id]]),ProductsTable[product_id],ProductsTable[unit_price],"Not Found")</f>
        <v>718.81</v>
      </c>
      <c r="H59">
        <f>SalesTable[[#This Row],[quantity]]*SalesTable[[#This Row],[unit_price]]</f>
        <v>2156.4299999999998</v>
      </c>
    </row>
    <row r="60" spans="1:8" x14ac:dyDescent="0.2">
      <c r="A60">
        <v>59</v>
      </c>
      <c r="B60">
        <v>1</v>
      </c>
      <c r="C60" s="1">
        <v>46222</v>
      </c>
      <c r="D60">
        <v>7</v>
      </c>
      <c r="E60" t="str">
        <f>_xlfn.XLOOKUP(SalesTable[[#This Row],[product_id]],ProductsTable[product_id],ProductsTable[product_name],"Not Found")</f>
        <v>Wireless Mouse</v>
      </c>
      <c r="F60" t="str">
        <f>_xlfn.XLOOKUP(SalesTable[[#This Row],[product_id]],ProductsTable[product_id],ProductsTable[category],"Not Found")</f>
        <v>Accessories</v>
      </c>
      <c r="G60">
        <f>_xlfn.XLOOKUP(VALUE(SalesTable[[#This Row],[product_id]]),ProductsTable[product_id],ProductsTable[unit_price],"Not Found")</f>
        <v>62.84</v>
      </c>
      <c r="H60">
        <f>SalesTable[[#This Row],[quantity]]*SalesTable[[#This Row],[unit_price]]</f>
        <v>439.88</v>
      </c>
    </row>
    <row r="61" spans="1:8" x14ac:dyDescent="0.2">
      <c r="A61">
        <v>60</v>
      </c>
      <c r="B61">
        <v>11</v>
      </c>
      <c r="C61" s="1">
        <v>46184</v>
      </c>
      <c r="D61">
        <v>3</v>
      </c>
      <c r="E61" t="str">
        <f>_xlfn.XLOOKUP(SalesTable[[#This Row],[product_id]],ProductsTable[product_id],ProductsTable[product_name],"Not Found")</f>
        <v>Bluetooth Speaker</v>
      </c>
      <c r="F61" t="str">
        <f>_xlfn.XLOOKUP(SalesTable[[#This Row],[product_id]],ProductsTable[product_id],ProductsTable[category],"Not Found")</f>
        <v>Audio</v>
      </c>
      <c r="G61">
        <f>_xlfn.XLOOKUP(VALUE(SalesTable[[#This Row],[product_id]]),ProductsTable[product_id],ProductsTable[unit_price],"Not Found")</f>
        <v>233.04</v>
      </c>
      <c r="H61">
        <f>SalesTable[[#This Row],[quantity]]*SalesTable[[#This Row],[unit_price]]</f>
        <v>699.12</v>
      </c>
    </row>
    <row r="62" spans="1:8" x14ac:dyDescent="0.2">
      <c r="A62">
        <v>61</v>
      </c>
      <c r="B62">
        <v>1</v>
      </c>
      <c r="C62" s="1">
        <v>46185</v>
      </c>
      <c r="D62">
        <v>10</v>
      </c>
      <c r="E62" t="str">
        <f>_xlfn.XLOOKUP(SalesTable[[#This Row],[product_id]],ProductsTable[product_id],ProductsTable[product_name],"Not Found")</f>
        <v>Wireless Mouse</v>
      </c>
      <c r="F62" t="str">
        <f>_xlfn.XLOOKUP(SalesTable[[#This Row],[product_id]],ProductsTable[product_id],ProductsTable[category],"Not Found")</f>
        <v>Accessories</v>
      </c>
      <c r="G62">
        <f>_xlfn.XLOOKUP(VALUE(SalesTable[[#This Row],[product_id]]),ProductsTable[product_id],ProductsTable[unit_price],"Not Found")</f>
        <v>62.84</v>
      </c>
      <c r="H62">
        <f>SalesTable[[#This Row],[quantity]]*SalesTable[[#This Row],[unit_price]]</f>
        <v>628.40000000000009</v>
      </c>
    </row>
    <row r="63" spans="1:8" x14ac:dyDescent="0.2">
      <c r="A63">
        <v>62</v>
      </c>
      <c r="B63">
        <v>25</v>
      </c>
      <c r="C63" s="1">
        <v>46167</v>
      </c>
      <c r="D63">
        <v>6</v>
      </c>
      <c r="E63" t="str">
        <f>_xlfn.XLOOKUP(SalesTable[[#This Row],[product_id]],ProductsTable[product_id],ProductsTable[product_name],"Not Found")</f>
        <v>Mesh Wi-Fi System</v>
      </c>
      <c r="F63" t="str">
        <f>_xlfn.XLOOKUP(SalesTable[[#This Row],[product_id]],ProductsTable[product_id],ProductsTable[category],"Not Found")</f>
        <v>Networking</v>
      </c>
      <c r="G63">
        <f>_xlfn.XLOOKUP(VALUE(SalesTable[[#This Row],[product_id]]),ProductsTable[product_id],ProductsTable[unit_price],"Not Found")</f>
        <v>472.01</v>
      </c>
      <c r="H63">
        <f>SalesTable[[#This Row],[quantity]]*SalesTable[[#This Row],[unit_price]]</f>
        <v>2832.06</v>
      </c>
    </row>
    <row r="64" spans="1:8" x14ac:dyDescent="0.2">
      <c r="A64">
        <v>63</v>
      </c>
      <c r="B64">
        <v>9</v>
      </c>
      <c r="C64" s="1">
        <v>46247</v>
      </c>
      <c r="D64">
        <v>2</v>
      </c>
      <c r="E64" t="str">
        <f>_xlfn.XLOOKUP(SalesTable[[#This Row],[product_id]],ProductsTable[product_id],ProductsTable[product_name],"Not Found")</f>
        <v>Mini PC</v>
      </c>
      <c r="F64" t="str">
        <f>_xlfn.XLOOKUP(SalesTable[[#This Row],[product_id]],ProductsTable[product_id],ProductsTable[category],"Not Found")</f>
        <v>Computer</v>
      </c>
      <c r="G64">
        <f>_xlfn.XLOOKUP(VALUE(SalesTable[[#This Row],[product_id]]),ProductsTable[product_id],ProductsTable[unit_price],"Not Found")</f>
        <v>844.86</v>
      </c>
      <c r="H64">
        <f>SalesTable[[#This Row],[quantity]]*SalesTable[[#This Row],[unit_price]]</f>
        <v>1689.72</v>
      </c>
    </row>
    <row r="65" spans="1:8" x14ac:dyDescent="0.2">
      <c r="A65">
        <v>64</v>
      </c>
      <c r="B65">
        <v>19</v>
      </c>
      <c r="C65" s="1">
        <v>46174</v>
      </c>
      <c r="D65">
        <v>1</v>
      </c>
      <c r="E65" t="str">
        <f>_xlfn.XLOOKUP(SalesTable[[#This Row],[product_id]],ProductsTable[product_id],ProductsTable[product_name],"Not Found")</f>
        <v>Monitor Arm</v>
      </c>
      <c r="F65" t="str">
        <f>_xlfn.XLOOKUP(SalesTable[[#This Row],[product_id]],ProductsTable[product_id],ProductsTable[category],"Not Found")</f>
        <v>Office</v>
      </c>
      <c r="G65">
        <f>_xlfn.XLOOKUP(VALUE(SalesTable[[#This Row],[product_id]]),ProductsTable[product_id],ProductsTable[unit_price],"Not Found")</f>
        <v>250.25</v>
      </c>
      <c r="H65">
        <f>SalesTable[[#This Row],[quantity]]*SalesTable[[#This Row],[unit_price]]</f>
        <v>250.25</v>
      </c>
    </row>
    <row r="66" spans="1:8" x14ac:dyDescent="0.2">
      <c r="A66">
        <v>65</v>
      </c>
      <c r="B66">
        <v>21</v>
      </c>
      <c r="C66" s="1">
        <v>46190</v>
      </c>
      <c r="D66">
        <v>4</v>
      </c>
      <c r="E66" t="str">
        <f>_xlfn.XLOOKUP(SalesTable[[#This Row],[product_id]],ProductsTable[product_id],ProductsTable[product_name],"Not Found")</f>
        <v>Wi-Fi Router</v>
      </c>
      <c r="F66" t="str">
        <f>_xlfn.XLOOKUP(SalesTable[[#This Row],[product_id]],ProductsTable[product_id],ProductsTable[category],"Not Found")</f>
        <v>Networking</v>
      </c>
      <c r="G66">
        <f>_xlfn.XLOOKUP(VALUE(SalesTable[[#This Row],[product_id]]),ProductsTable[product_id],ProductsTable[unit_price],"Not Found")</f>
        <v>147.08000000000001</v>
      </c>
      <c r="H66">
        <f>SalesTable[[#This Row],[quantity]]*SalesTable[[#This Row],[unit_price]]</f>
        <v>588.32000000000005</v>
      </c>
    </row>
    <row r="67" spans="1:8" x14ac:dyDescent="0.2">
      <c r="A67">
        <v>66</v>
      </c>
      <c r="B67">
        <v>5</v>
      </c>
      <c r="C67" s="1">
        <v>46234</v>
      </c>
      <c r="D67">
        <v>4</v>
      </c>
      <c r="E67" t="str">
        <f>_xlfn.XLOOKUP(SalesTable[[#This Row],[product_id]],ProductsTable[product_id],ProductsTable[product_name],"Not Found")</f>
        <v>Mouse Pad</v>
      </c>
      <c r="F67" t="str">
        <f>_xlfn.XLOOKUP(SalesTable[[#This Row],[product_id]],ProductsTable[product_id],ProductsTable[category],"Not Found")</f>
        <v>Accessories</v>
      </c>
      <c r="G67">
        <f>_xlfn.XLOOKUP(VALUE(SalesTable[[#This Row],[product_id]]),ProductsTable[product_id],ProductsTable[unit_price],"Not Found")</f>
        <v>31.46</v>
      </c>
      <c r="H67">
        <f>SalesTable[[#This Row],[quantity]]*SalesTable[[#This Row],[unit_price]]</f>
        <v>125.84</v>
      </c>
    </row>
    <row r="68" spans="1:8" x14ac:dyDescent="0.2">
      <c r="A68">
        <v>67</v>
      </c>
      <c r="B68">
        <v>2</v>
      </c>
      <c r="C68" s="1">
        <v>46179</v>
      </c>
      <c r="D68">
        <v>3</v>
      </c>
      <c r="E68" t="str">
        <f>_xlfn.XLOOKUP(SalesTable[[#This Row],[product_id]],ProductsTable[product_id],ProductsTable[product_name],"Not Found")</f>
        <v>USB-C Cable</v>
      </c>
      <c r="F68" t="str">
        <f>_xlfn.XLOOKUP(SalesTable[[#This Row],[product_id]],ProductsTable[product_id],ProductsTable[category],"Not Found")</f>
        <v>Accessories</v>
      </c>
      <c r="G68">
        <f>_xlfn.XLOOKUP(VALUE(SalesTable[[#This Row],[product_id]]),ProductsTable[product_id],ProductsTable[unit_price],"Not Found")</f>
        <v>17.239999999999998</v>
      </c>
      <c r="H68">
        <f>SalesTable[[#This Row],[quantity]]*SalesTable[[#This Row],[unit_price]]</f>
        <v>51.72</v>
      </c>
    </row>
    <row r="69" spans="1:8" x14ac:dyDescent="0.2">
      <c r="A69">
        <v>68</v>
      </c>
      <c r="B69">
        <v>14</v>
      </c>
      <c r="C69" s="1">
        <v>46241</v>
      </c>
      <c r="D69">
        <v>6</v>
      </c>
      <c r="E69" t="str">
        <f>_xlfn.XLOOKUP(SalesTable[[#This Row],[product_id]],ProductsTable[product_id],ProductsTable[product_name],"Not Found")</f>
        <v>USB Microphone</v>
      </c>
      <c r="F69" t="str">
        <f>_xlfn.XLOOKUP(SalesTable[[#This Row],[product_id]],ProductsTable[product_id],ProductsTable[category],"Not Found")</f>
        <v>Audio</v>
      </c>
      <c r="G69">
        <f>_xlfn.XLOOKUP(VALUE(SalesTable[[#This Row],[product_id]]),ProductsTable[product_id],ProductsTable[unit_price],"Not Found")</f>
        <v>176.19</v>
      </c>
      <c r="H69">
        <f>SalesTable[[#This Row],[quantity]]*SalesTable[[#This Row],[unit_price]]</f>
        <v>1057.1399999999999</v>
      </c>
    </row>
    <row r="70" spans="1:8" x14ac:dyDescent="0.2">
      <c r="A70">
        <v>69</v>
      </c>
      <c r="B70">
        <v>24</v>
      </c>
      <c r="C70" s="1">
        <v>46184</v>
      </c>
      <c r="D70">
        <v>1</v>
      </c>
      <c r="E70" t="str">
        <f>_xlfn.XLOOKUP(SalesTable[[#This Row],[product_id]],ProductsTable[product_id],ProductsTable[product_name],"Not Found")</f>
        <v>Ethernet Adapter</v>
      </c>
      <c r="F70" t="str">
        <f>_xlfn.XLOOKUP(SalesTable[[#This Row],[product_id]],ProductsTable[product_id],ProductsTable[category],"Not Found")</f>
        <v>Networking</v>
      </c>
      <c r="G70">
        <f>_xlfn.XLOOKUP(VALUE(SalesTable[[#This Row],[product_id]]),ProductsTable[product_id],ProductsTable[unit_price],"Not Found")</f>
        <v>486.94</v>
      </c>
      <c r="H70">
        <f>SalesTable[[#This Row],[quantity]]*SalesTable[[#This Row],[unit_price]]</f>
        <v>486.94</v>
      </c>
    </row>
    <row r="71" spans="1:8" x14ac:dyDescent="0.2">
      <c r="A71">
        <v>70</v>
      </c>
      <c r="B71">
        <v>20</v>
      </c>
      <c r="C71" s="1">
        <v>46241</v>
      </c>
      <c r="D71">
        <v>2</v>
      </c>
      <c r="E71" t="str">
        <f>_xlfn.XLOOKUP(SalesTable[[#This Row],[product_id]],ProductsTable[product_id],ProductsTable[product_name],"Not Found")</f>
        <v>Keyboard Tray</v>
      </c>
      <c r="F71" t="str">
        <f>_xlfn.XLOOKUP(SalesTable[[#This Row],[product_id]],ProductsTable[product_id],ProductsTable[category],"Not Found")</f>
        <v>Office</v>
      </c>
      <c r="G71">
        <f>_xlfn.XLOOKUP(VALUE(SalesTable[[#This Row],[product_id]]),ProductsTable[product_id],ProductsTable[unit_price],"Not Found")</f>
        <v>62.2</v>
      </c>
      <c r="H71">
        <f>SalesTable[[#This Row],[quantity]]*SalesTable[[#This Row],[unit_price]]</f>
        <v>124.4</v>
      </c>
    </row>
    <row r="72" spans="1:8" x14ac:dyDescent="0.2">
      <c r="A72">
        <v>71</v>
      </c>
      <c r="B72">
        <v>8</v>
      </c>
      <c r="C72" s="1">
        <v>46231</v>
      </c>
      <c r="D72">
        <v>2</v>
      </c>
      <c r="E72" t="str">
        <f>_xlfn.XLOOKUP(SalesTable[[#This Row],[product_id]],ProductsTable[product_id],ProductsTable[product_name],"Not Found")</f>
        <v>Desktop Computer</v>
      </c>
      <c r="F72" t="str">
        <f>_xlfn.XLOOKUP(SalesTable[[#This Row],[product_id]],ProductsTable[product_id],ProductsTable[category],"Not Found")</f>
        <v>Computer</v>
      </c>
      <c r="G72">
        <f>_xlfn.XLOOKUP(VALUE(SalesTable[[#This Row],[product_id]]),ProductsTable[product_id],ProductsTable[unit_price],"Not Found")</f>
        <v>1387.44</v>
      </c>
      <c r="H72">
        <f>SalesTable[[#This Row],[quantity]]*SalesTable[[#This Row],[unit_price]]</f>
        <v>2774.88</v>
      </c>
    </row>
    <row r="73" spans="1:8" x14ac:dyDescent="0.2">
      <c r="A73">
        <v>72</v>
      </c>
      <c r="B73">
        <v>2</v>
      </c>
      <c r="C73" s="1">
        <v>46205</v>
      </c>
      <c r="D73">
        <v>1</v>
      </c>
      <c r="E73" t="str">
        <f>_xlfn.XLOOKUP(SalesTable[[#This Row],[product_id]],ProductsTable[product_id],ProductsTable[product_name],"Not Found")</f>
        <v>USB-C Cable</v>
      </c>
      <c r="F73" t="str">
        <f>_xlfn.XLOOKUP(SalesTable[[#This Row],[product_id]],ProductsTable[product_id],ProductsTable[category],"Not Found")</f>
        <v>Accessories</v>
      </c>
      <c r="G73">
        <f>_xlfn.XLOOKUP(VALUE(SalesTable[[#This Row],[product_id]]),ProductsTable[product_id],ProductsTable[unit_price],"Not Found")</f>
        <v>17.239999999999998</v>
      </c>
      <c r="H73">
        <f>SalesTable[[#This Row],[quantity]]*SalesTable[[#This Row],[unit_price]]</f>
        <v>17.239999999999998</v>
      </c>
    </row>
    <row r="74" spans="1:8" x14ac:dyDescent="0.2">
      <c r="A74">
        <v>73</v>
      </c>
      <c r="B74">
        <v>25</v>
      </c>
      <c r="C74" s="1">
        <v>46229</v>
      </c>
      <c r="D74">
        <v>7</v>
      </c>
      <c r="E74" t="str">
        <f>_xlfn.XLOOKUP(SalesTable[[#This Row],[product_id]],ProductsTable[product_id],ProductsTable[product_name],"Not Found")</f>
        <v>Mesh Wi-Fi System</v>
      </c>
      <c r="F74" t="str">
        <f>_xlfn.XLOOKUP(SalesTable[[#This Row],[product_id]],ProductsTable[product_id],ProductsTable[category],"Not Found")</f>
        <v>Networking</v>
      </c>
      <c r="G74">
        <f>_xlfn.XLOOKUP(VALUE(SalesTable[[#This Row],[product_id]]),ProductsTable[product_id],ProductsTable[unit_price],"Not Found")</f>
        <v>472.01</v>
      </c>
      <c r="H74">
        <f>SalesTable[[#This Row],[quantity]]*SalesTable[[#This Row],[unit_price]]</f>
        <v>3304.0699999999997</v>
      </c>
    </row>
    <row r="75" spans="1:8" x14ac:dyDescent="0.2">
      <c r="A75">
        <v>74</v>
      </c>
      <c r="B75">
        <v>25</v>
      </c>
      <c r="C75" s="1">
        <v>46200</v>
      </c>
      <c r="D75">
        <v>7</v>
      </c>
      <c r="E75" t="str">
        <f>_xlfn.XLOOKUP(SalesTable[[#This Row],[product_id]],ProductsTable[product_id],ProductsTable[product_name],"Not Found")</f>
        <v>Mesh Wi-Fi System</v>
      </c>
      <c r="F75" t="str">
        <f>_xlfn.XLOOKUP(SalesTable[[#This Row],[product_id]],ProductsTable[product_id],ProductsTable[category],"Not Found")</f>
        <v>Networking</v>
      </c>
      <c r="G75">
        <f>_xlfn.XLOOKUP(VALUE(SalesTable[[#This Row],[product_id]]),ProductsTable[product_id],ProductsTable[unit_price],"Not Found")</f>
        <v>472.01</v>
      </c>
      <c r="H75">
        <f>SalesTable[[#This Row],[quantity]]*SalesTable[[#This Row],[unit_price]]</f>
        <v>3304.0699999999997</v>
      </c>
    </row>
    <row r="76" spans="1:8" x14ac:dyDescent="0.2">
      <c r="A76">
        <v>75</v>
      </c>
      <c r="B76">
        <v>21</v>
      </c>
      <c r="C76" s="1">
        <v>46181</v>
      </c>
      <c r="D76">
        <v>2</v>
      </c>
      <c r="E76" t="str">
        <f>_xlfn.XLOOKUP(SalesTable[[#This Row],[product_id]],ProductsTable[product_id],ProductsTable[product_name],"Not Found")</f>
        <v>Wi-Fi Router</v>
      </c>
      <c r="F76" t="str">
        <f>_xlfn.XLOOKUP(SalesTable[[#This Row],[product_id]],ProductsTable[product_id],ProductsTable[category],"Not Found")</f>
        <v>Networking</v>
      </c>
      <c r="G76">
        <f>_xlfn.XLOOKUP(VALUE(SalesTable[[#This Row],[product_id]]),ProductsTable[product_id],ProductsTable[unit_price],"Not Found")</f>
        <v>147.08000000000001</v>
      </c>
      <c r="H76">
        <f>SalesTable[[#This Row],[quantity]]*SalesTable[[#This Row],[unit_price]]</f>
        <v>294.16000000000003</v>
      </c>
    </row>
    <row r="77" spans="1:8" x14ac:dyDescent="0.2">
      <c r="A77">
        <v>76</v>
      </c>
      <c r="B77">
        <v>19</v>
      </c>
      <c r="C77" s="1">
        <v>46182</v>
      </c>
      <c r="D77">
        <v>1</v>
      </c>
      <c r="E77" t="str">
        <f>_xlfn.XLOOKUP(SalesTable[[#This Row],[product_id]],ProductsTable[product_id],ProductsTable[product_name],"Not Found")</f>
        <v>Monitor Arm</v>
      </c>
      <c r="F77" t="str">
        <f>_xlfn.XLOOKUP(SalesTable[[#This Row],[product_id]],ProductsTable[product_id],ProductsTable[category],"Not Found")</f>
        <v>Office</v>
      </c>
      <c r="G77">
        <f>_xlfn.XLOOKUP(VALUE(SalesTable[[#This Row],[product_id]]),ProductsTable[product_id],ProductsTable[unit_price],"Not Found")</f>
        <v>250.25</v>
      </c>
      <c r="H77">
        <f>SalesTable[[#This Row],[quantity]]*SalesTable[[#This Row],[unit_price]]</f>
        <v>250.25</v>
      </c>
    </row>
    <row r="78" spans="1:8" x14ac:dyDescent="0.2">
      <c r="A78">
        <v>77</v>
      </c>
      <c r="B78">
        <v>17</v>
      </c>
      <c r="C78" s="1">
        <v>46170</v>
      </c>
      <c r="D78">
        <v>1</v>
      </c>
      <c r="E78" t="str">
        <f>_xlfn.XLOOKUP(SalesTable[[#This Row],[product_id]],ProductsTable[product_id],ProductsTable[product_name],"Not Found")</f>
        <v>Desk Lamp</v>
      </c>
      <c r="F78" t="str">
        <f>_xlfn.XLOOKUP(SalesTable[[#This Row],[product_id]],ProductsTable[product_id],ProductsTable[category],"Not Found")</f>
        <v>Office</v>
      </c>
      <c r="G78">
        <f>_xlfn.XLOOKUP(VALUE(SalesTable[[#This Row],[product_id]]),ProductsTable[product_id],ProductsTable[unit_price],"Not Found")</f>
        <v>25.28</v>
      </c>
      <c r="H78">
        <f>SalesTable[[#This Row],[quantity]]*SalesTable[[#This Row],[unit_price]]</f>
        <v>25.28</v>
      </c>
    </row>
    <row r="79" spans="1:8" x14ac:dyDescent="0.2">
      <c r="A79">
        <v>78</v>
      </c>
      <c r="B79">
        <v>11</v>
      </c>
      <c r="C79" s="1">
        <v>46176</v>
      </c>
      <c r="D79">
        <v>1</v>
      </c>
      <c r="E79" t="str">
        <f>_xlfn.XLOOKUP(SalesTable[[#This Row],[product_id]],ProductsTable[product_id],ProductsTable[product_name],"Not Found")</f>
        <v>Bluetooth Speaker</v>
      </c>
      <c r="F79" t="str">
        <f>_xlfn.XLOOKUP(SalesTable[[#This Row],[product_id]],ProductsTable[product_id],ProductsTable[category],"Not Found")</f>
        <v>Audio</v>
      </c>
      <c r="G79">
        <f>_xlfn.XLOOKUP(VALUE(SalesTable[[#This Row],[product_id]]),ProductsTable[product_id],ProductsTable[unit_price],"Not Found")</f>
        <v>233.04</v>
      </c>
      <c r="H79">
        <f>SalesTable[[#This Row],[quantity]]*SalesTable[[#This Row],[unit_price]]</f>
        <v>233.04</v>
      </c>
    </row>
    <row r="80" spans="1:8" x14ac:dyDescent="0.2">
      <c r="A80">
        <v>79</v>
      </c>
      <c r="B80">
        <v>18</v>
      </c>
      <c r="C80" s="1">
        <v>46177</v>
      </c>
      <c r="D80">
        <v>3</v>
      </c>
      <c r="E80" t="str">
        <f>_xlfn.XLOOKUP(SalesTable[[#This Row],[product_id]],ProductsTable[product_id],ProductsTable[product_name],"Not Found")</f>
        <v>Standing Desk</v>
      </c>
      <c r="F80" t="str">
        <f>_xlfn.XLOOKUP(SalesTable[[#This Row],[product_id]],ProductsTable[product_id],ProductsTable[category],"Not Found")</f>
        <v>Office</v>
      </c>
      <c r="G80">
        <f>_xlfn.XLOOKUP(VALUE(SalesTable[[#This Row],[product_id]]),ProductsTable[product_id],ProductsTable[unit_price],"Not Found")</f>
        <v>191.24</v>
      </c>
      <c r="H80">
        <f>SalesTable[[#This Row],[quantity]]*SalesTable[[#This Row],[unit_price]]</f>
        <v>573.72</v>
      </c>
    </row>
    <row r="81" spans="1:8" x14ac:dyDescent="0.2">
      <c r="A81">
        <v>80</v>
      </c>
      <c r="B81">
        <v>17</v>
      </c>
      <c r="C81" s="1">
        <v>46178</v>
      </c>
      <c r="D81">
        <v>5</v>
      </c>
      <c r="E81" t="str">
        <f>_xlfn.XLOOKUP(SalesTable[[#This Row],[product_id]],ProductsTable[product_id],ProductsTable[product_name],"Not Found")</f>
        <v>Desk Lamp</v>
      </c>
      <c r="F81" t="str">
        <f>_xlfn.XLOOKUP(SalesTable[[#This Row],[product_id]],ProductsTable[product_id],ProductsTable[category],"Not Found")</f>
        <v>Office</v>
      </c>
      <c r="G81">
        <f>_xlfn.XLOOKUP(VALUE(SalesTable[[#This Row],[product_id]]),ProductsTable[product_id],ProductsTable[unit_price],"Not Found")</f>
        <v>25.28</v>
      </c>
      <c r="H81">
        <f>SalesTable[[#This Row],[quantity]]*SalesTable[[#This Row],[unit_price]]</f>
        <v>126.4</v>
      </c>
    </row>
    <row r="82" spans="1:8" x14ac:dyDescent="0.2">
      <c r="A82">
        <v>81</v>
      </c>
      <c r="B82">
        <v>4</v>
      </c>
      <c r="C82" s="1">
        <v>46252</v>
      </c>
      <c r="D82">
        <v>4</v>
      </c>
      <c r="E82" t="str">
        <f>_xlfn.XLOOKUP(SalesTable[[#This Row],[product_id]],ProductsTable[product_id],ProductsTable[product_name],"Not Found")</f>
        <v>Webcam Cover</v>
      </c>
      <c r="F82" t="str">
        <f>_xlfn.XLOOKUP(SalesTable[[#This Row],[product_id]],ProductsTable[product_id],ProductsTable[category],"Not Found")</f>
        <v>Accessories</v>
      </c>
      <c r="G82">
        <f>_xlfn.XLOOKUP(VALUE(SalesTable[[#This Row],[product_id]]),ProductsTable[product_id],ProductsTable[unit_price],"Not Found")</f>
        <v>71.17</v>
      </c>
      <c r="H82">
        <f>SalesTable[[#This Row],[quantity]]*SalesTable[[#This Row],[unit_price]]</f>
        <v>284.68</v>
      </c>
    </row>
    <row r="83" spans="1:8" x14ac:dyDescent="0.2">
      <c r="A83">
        <v>82</v>
      </c>
      <c r="B83">
        <v>2</v>
      </c>
      <c r="C83" s="1">
        <v>46220</v>
      </c>
      <c r="D83">
        <v>6</v>
      </c>
      <c r="E83" t="str">
        <f>_xlfn.XLOOKUP(SalesTable[[#This Row],[product_id]],ProductsTable[product_id],ProductsTable[product_name],"Not Found")</f>
        <v>USB-C Cable</v>
      </c>
      <c r="F83" t="str">
        <f>_xlfn.XLOOKUP(SalesTable[[#This Row],[product_id]],ProductsTable[product_id],ProductsTable[category],"Not Found")</f>
        <v>Accessories</v>
      </c>
      <c r="G83">
        <f>_xlfn.XLOOKUP(VALUE(SalesTable[[#This Row],[product_id]]),ProductsTable[product_id],ProductsTable[unit_price],"Not Found")</f>
        <v>17.239999999999998</v>
      </c>
      <c r="H83">
        <f>SalesTable[[#This Row],[quantity]]*SalesTable[[#This Row],[unit_price]]</f>
        <v>103.44</v>
      </c>
    </row>
    <row r="84" spans="1:8" x14ac:dyDescent="0.2">
      <c r="A84">
        <v>83</v>
      </c>
      <c r="B84">
        <v>1</v>
      </c>
      <c r="C84" s="1">
        <v>46190</v>
      </c>
      <c r="D84">
        <v>9</v>
      </c>
      <c r="E84" t="str">
        <f>_xlfn.XLOOKUP(SalesTable[[#This Row],[product_id]],ProductsTable[product_id],ProductsTable[product_name],"Not Found")</f>
        <v>Wireless Mouse</v>
      </c>
      <c r="F84" t="str">
        <f>_xlfn.XLOOKUP(SalesTable[[#This Row],[product_id]],ProductsTable[product_id],ProductsTable[category],"Not Found")</f>
        <v>Accessories</v>
      </c>
      <c r="G84">
        <f>_xlfn.XLOOKUP(VALUE(SalesTable[[#This Row],[product_id]]),ProductsTable[product_id],ProductsTable[unit_price],"Not Found")</f>
        <v>62.84</v>
      </c>
      <c r="H84">
        <f>SalesTable[[#This Row],[quantity]]*SalesTable[[#This Row],[unit_price]]</f>
        <v>565.56000000000006</v>
      </c>
    </row>
    <row r="85" spans="1:8" x14ac:dyDescent="0.2">
      <c r="A85">
        <v>84</v>
      </c>
      <c r="B85">
        <v>15</v>
      </c>
      <c r="C85" s="1">
        <v>46169</v>
      </c>
      <c r="D85">
        <v>6</v>
      </c>
      <c r="E85" t="str">
        <f>_xlfn.XLOOKUP(SalesTable[[#This Row],[product_id]],ProductsTable[product_id],ProductsTable[product_name],"Not Found")</f>
        <v>Wireless Earbuds</v>
      </c>
      <c r="F85" t="str">
        <f>_xlfn.XLOOKUP(SalesTable[[#This Row],[product_id]],ProductsTable[product_id],ProductsTable[category],"Not Found")</f>
        <v>Audio</v>
      </c>
      <c r="G85">
        <f>_xlfn.XLOOKUP(VALUE(SalesTable[[#This Row],[product_id]]),ProductsTable[product_id],ProductsTable[unit_price],"Not Found")</f>
        <v>250.32</v>
      </c>
      <c r="H85">
        <f>SalesTable[[#This Row],[quantity]]*SalesTable[[#This Row],[unit_price]]</f>
        <v>1501.92</v>
      </c>
    </row>
    <row r="86" spans="1:8" x14ac:dyDescent="0.2">
      <c r="A86">
        <v>85</v>
      </c>
      <c r="B86">
        <v>14</v>
      </c>
      <c r="C86" s="1">
        <v>46246</v>
      </c>
      <c r="D86">
        <v>4</v>
      </c>
      <c r="E86" t="str">
        <f>_xlfn.XLOOKUP(SalesTable[[#This Row],[product_id]],ProductsTable[product_id],ProductsTable[product_name],"Not Found")</f>
        <v>USB Microphone</v>
      </c>
      <c r="F86" t="str">
        <f>_xlfn.XLOOKUP(SalesTable[[#This Row],[product_id]],ProductsTable[product_id],ProductsTable[category],"Not Found")</f>
        <v>Audio</v>
      </c>
      <c r="G86">
        <f>_xlfn.XLOOKUP(VALUE(SalesTable[[#This Row],[product_id]]),ProductsTable[product_id],ProductsTable[unit_price],"Not Found")</f>
        <v>176.19</v>
      </c>
      <c r="H86">
        <f>SalesTable[[#This Row],[quantity]]*SalesTable[[#This Row],[unit_price]]</f>
        <v>704.76</v>
      </c>
    </row>
    <row r="87" spans="1:8" x14ac:dyDescent="0.2">
      <c r="A87">
        <v>86</v>
      </c>
      <c r="B87">
        <v>20</v>
      </c>
      <c r="C87" s="1">
        <v>46171</v>
      </c>
      <c r="D87">
        <v>1</v>
      </c>
      <c r="E87" t="str">
        <f>_xlfn.XLOOKUP(SalesTable[[#This Row],[product_id]],ProductsTable[product_id],ProductsTable[product_name],"Not Found")</f>
        <v>Keyboard Tray</v>
      </c>
      <c r="F87" t="str">
        <f>_xlfn.XLOOKUP(SalesTable[[#This Row],[product_id]],ProductsTable[product_id],ProductsTable[category],"Not Found")</f>
        <v>Office</v>
      </c>
      <c r="G87">
        <f>_xlfn.XLOOKUP(VALUE(SalesTable[[#This Row],[product_id]]),ProductsTable[product_id],ProductsTable[unit_price],"Not Found")</f>
        <v>62.2</v>
      </c>
      <c r="H87">
        <f>SalesTable[[#This Row],[quantity]]*SalesTable[[#This Row],[unit_price]]</f>
        <v>62.2</v>
      </c>
    </row>
    <row r="88" spans="1:8" x14ac:dyDescent="0.2">
      <c r="A88">
        <v>87</v>
      </c>
      <c r="B88">
        <v>5</v>
      </c>
      <c r="C88" s="1">
        <v>46192</v>
      </c>
      <c r="D88">
        <v>3</v>
      </c>
      <c r="E88" t="str">
        <f>_xlfn.XLOOKUP(SalesTable[[#This Row],[product_id]],ProductsTable[product_id],ProductsTable[product_name],"Not Found")</f>
        <v>Mouse Pad</v>
      </c>
      <c r="F88" t="str">
        <f>_xlfn.XLOOKUP(SalesTable[[#This Row],[product_id]],ProductsTable[product_id],ProductsTable[category],"Not Found")</f>
        <v>Accessories</v>
      </c>
      <c r="G88">
        <f>_xlfn.XLOOKUP(VALUE(SalesTable[[#This Row],[product_id]]),ProductsTable[product_id],ProductsTable[unit_price],"Not Found")</f>
        <v>31.46</v>
      </c>
      <c r="H88">
        <f>SalesTable[[#This Row],[quantity]]*SalesTable[[#This Row],[unit_price]]</f>
        <v>94.38</v>
      </c>
    </row>
    <row r="89" spans="1:8" x14ac:dyDescent="0.2">
      <c r="A89">
        <v>88</v>
      </c>
      <c r="B89">
        <v>24</v>
      </c>
      <c r="C89" s="1">
        <v>46197</v>
      </c>
      <c r="D89">
        <v>7</v>
      </c>
      <c r="E89" t="str">
        <f>_xlfn.XLOOKUP(SalesTable[[#This Row],[product_id]],ProductsTable[product_id],ProductsTable[product_name],"Not Found")</f>
        <v>Ethernet Adapter</v>
      </c>
      <c r="F89" t="str">
        <f>_xlfn.XLOOKUP(SalesTable[[#This Row],[product_id]],ProductsTable[product_id],ProductsTable[category],"Not Found")</f>
        <v>Networking</v>
      </c>
      <c r="G89">
        <f>_xlfn.XLOOKUP(VALUE(SalesTable[[#This Row],[product_id]]),ProductsTable[product_id],ProductsTable[unit_price],"Not Found")</f>
        <v>486.94</v>
      </c>
      <c r="H89">
        <f>SalesTable[[#This Row],[quantity]]*SalesTable[[#This Row],[unit_price]]</f>
        <v>3408.58</v>
      </c>
    </row>
    <row r="90" spans="1:8" x14ac:dyDescent="0.2">
      <c r="A90">
        <v>89</v>
      </c>
      <c r="B90">
        <v>22</v>
      </c>
      <c r="C90" s="1">
        <v>46209</v>
      </c>
      <c r="D90">
        <v>5</v>
      </c>
      <c r="E90" t="str">
        <f>_xlfn.XLOOKUP(SalesTable[[#This Row],[product_id]],ProductsTable[product_id],ProductsTable[product_name],"Not Found")</f>
        <v>Network Switch</v>
      </c>
      <c r="F90" t="str">
        <f>_xlfn.XLOOKUP(SalesTable[[#This Row],[product_id]],ProductsTable[product_id],ProductsTable[category],"Not Found")</f>
        <v>Networking</v>
      </c>
      <c r="G90">
        <f>_xlfn.XLOOKUP(VALUE(SalesTable[[#This Row],[product_id]]),ProductsTable[product_id],ProductsTable[unit_price],"Not Found")</f>
        <v>341.92</v>
      </c>
      <c r="H90">
        <f>SalesTable[[#This Row],[quantity]]*SalesTable[[#This Row],[unit_price]]</f>
        <v>1709.6000000000001</v>
      </c>
    </row>
    <row r="91" spans="1:8" x14ac:dyDescent="0.2">
      <c r="A91">
        <v>90</v>
      </c>
      <c r="B91">
        <v>24</v>
      </c>
      <c r="C91" s="1">
        <v>46234</v>
      </c>
      <c r="D91">
        <v>4</v>
      </c>
      <c r="E91" t="str">
        <f>_xlfn.XLOOKUP(SalesTable[[#This Row],[product_id]],ProductsTable[product_id],ProductsTable[product_name],"Not Found")</f>
        <v>Ethernet Adapter</v>
      </c>
      <c r="F91" t="str">
        <f>_xlfn.XLOOKUP(SalesTable[[#This Row],[product_id]],ProductsTable[product_id],ProductsTable[category],"Not Found")</f>
        <v>Networking</v>
      </c>
      <c r="G91">
        <f>_xlfn.XLOOKUP(VALUE(SalesTable[[#This Row],[product_id]]),ProductsTable[product_id],ProductsTable[unit_price],"Not Found")</f>
        <v>486.94</v>
      </c>
      <c r="H91">
        <f>SalesTable[[#This Row],[quantity]]*SalesTable[[#This Row],[unit_price]]</f>
        <v>1947.76</v>
      </c>
    </row>
    <row r="92" spans="1:8" x14ac:dyDescent="0.2">
      <c r="A92">
        <v>91</v>
      </c>
      <c r="B92">
        <v>25</v>
      </c>
      <c r="C92" s="1">
        <v>46214</v>
      </c>
      <c r="D92">
        <v>6</v>
      </c>
      <c r="E92" t="str">
        <f>_xlfn.XLOOKUP(SalesTable[[#This Row],[product_id]],ProductsTable[product_id],ProductsTable[product_name],"Not Found")</f>
        <v>Mesh Wi-Fi System</v>
      </c>
      <c r="F92" t="str">
        <f>_xlfn.XLOOKUP(SalesTable[[#This Row],[product_id]],ProductsTable[product_id],ProductsTable[category],"Not Found")</f>
        <v>Networking</v>
      </c>
      <c r="G92">
        <f>_xlfn.XLOOKUP(VALUE(SalesTable[[#This Row],[product_id]]),ProductsTable[product_id],ProductsTable[unit_price],"Not Found")</f>
        <v>472.01</v>
      </c>
      <c r="H92">
        <f>SalesTable[[#This Row],[quantity]]*SalesTable[[#This Row],[unit_price]]</f>
        <v>2832.06</v>
      </c>
    </row>
    <row r="93" spans="1:8" x14ac:dyDescent="0.2">
      <c r="A93">
        <v>92</v>
      </c>
      <c r="B93">
        <v>22</v>
      </c>
      <c r="C93" s="1">
        <v>46236</v>
      </c>
      <c r="D93">
        <v>5</v>
      </c>
      <c r="E93" t="str">
        <f>_xlfn.XLOOKUP(SalesTable[[#This Row],[product_id]],ProductsTable[product_id],ProductsTable[product_name],"Not Found")</f>
        <v>Network Switch</v>
      </c>
      <c r="F93" t="str">
        <f>_xlfn.XLOOKUP(SalesTable[[#This Row],[product_id]],ProductsTable[product_id],ProductsTable[category],"Not Found")</f>
        <v>Networking</v>
      </c>
      <c r="G93">
        <f>_xlfn.XLOOKUP(VALUE(SalesTable[[#This Row],[product_id]]),ProductsTable[product_id],ProductsTable[unit_price],"Not Found")</f>
        <v>341.92</v>
      </c>
      <c r="H93">
        <f>SalesTable[[#This Row],[quantity]]*SalesTable[[#This Row],[unit_price]]</f>
        <v>1709.6000000000001</v>
      </c>
    </row>
    <row r="94" spans="1:8" x14ac:dyDescent="0.2">
      <c r="A94">
        <v>93</v>
      </c>
      <c r="B94">
        <v>12</v>
      </c>
      <c r="C94" s="1">
        <v>46225</v>
      </c>
      <c r="D94">
        <v>4</v>
      </c>
      <c r="E94" t="str">
        <f>_xlfn.XLOOKUP(SalesTable[[#This Row],[product_id]],ProductsTable[product_id],ProductsTable[product_name],"Not Found")</f>
        <v>Wireless Headphones</v>
      </c>
      <c r="F94" t="str">
        <f>_xlfn.XLOOKUP(SalesTable[[#This Row],[product_id]],ProductsTable[product_id],ProductsTable[category],"Not Found")</f>
        <v>Audio</v>
      </c>
      <c r="G94">
        <f>_xlfn.XLOOKUP(VALUE(SalesTable[[#This Row],[product_id]]),ProductsTable[product_id],ProductsTable[unit_price],"Not Found")</f>
        <v>358.79</v>
      </c>
      <c r="H94">
        <f>SalesTable[[#This Row],[quantity]]*SalesTable[[#This Row],[unit_price]]</f>
        <v>1435.16</v>
      </c>
    </row>
    <row r="95" spans="1:8" x14ac:dyDescent="0.2">
      <c r="A95">
        <v>94</v>
      </c>
      <c r="B95">
        <v>17</v>
      </c>
      <c r="C95" s="1">
        <v>46176</v>
      </c>
      <c r="D95">
        <v>2</v>
      </c>
      <c r="E95" t="str">
        <f>_xlfn.XLOOKUP(SalesTable[[#This Row],[product_id]],ProductsTable[product_id],ProductsTable[product_name],"Not Found")</f>
        <v>Desk Lamp</v>
      </c>
      <c r="F95" t="str">
        <f>_xlfn.XLOOKUP(SalesTable[[#This Row],[product_id]],ProductsTable[product_id],ProductsTable[category],"Not Found")</f>
        <v>Office</v>
      </c>
      <c r="G95">
        <f>_xlfn.XLOOKUP(VALUE(SalesTable[[#This Row],[product_id]]),ProductsTable[product_id],ProductsTable[unit_price],"Not Found")</f>
        <v>25.28</v>
      </c>
      <c r="H95">
        <f>SalesTable[[#This Row],[quantity]]*SalesTable[[#This Row],[unit_price]]</f>
        <v>50.56</v>
      </c>
    </row>
    <row r="96" spans="1:8" x14ac:dyDescent="0.2">
      <c r="A96">
        <v>95</v>
      </c>
      <c r="B96">
        <v>13</v>
      </c>
      <c r="C96" s="1">
        <v>46213</v>
      </c>
      <c r="D96">
        <v>5</v>
      </c>
      <c r="E96" t="str">
        <f>_xlfn.XLOOKUP(SalesTable[[#This Row],[product_id]],ProductsTable[product_id],ProductsTable[product_name],"Not Found")</f>
        <v>Soundbar</v>
      </c>
      <c r="F96" t="str">
        <f>_xlfn.XLOOKUP(SalesTable[[#This Row],[product_id]],ProductsTable[product_id],ProductsTable[category],"Not Found")</f>
        <v>Audio</v>
      </c>
      <c r="G96">
        <f>_xlfn.XLOOKUP(VALUE(SalesTable[[#This Row],[product_id]]),ProductsTable[product_id],ProductsTable[unit_price],"Not Found")</f>
        <v>487.7</v>
      </c>
      <c r="H96">
        <f>SalesTable[[#This Row],[quantity]]*SalesTable[[#This Row],[unit_price]]</f>
        <v>2438.5</v>
      </c>
    </row>
    <row r="97" spans="1:8" x14ac:dyDescent="0.2">
      <c r="A97">
        <v>96</v>
      </c>
      <c r="B97">
        <v>25</v>
      </c>
      <c r="C97" s="1">
        <v>46199</v>
      </c>
      <c r="D97">
        <v>6</v>
      </c>
      <c r="E97" t="str">
        <f>_xlfn.XLOOKUP(SalesTable[[#This Row],[product_id]],ProductsTable[product_id],ProductsTable[product_name],"Not Found")</f>
        <v>Mesh Wi-Fi System</v>
      </c>
      <c r="F97" t="str">
        <f>_xlfn.XLOOKUP(SalesTable[[#This Row],[product_id]],ProductsTable[product_id],ProductsTable[category],"Not Found")</f>
        <v>Networking</v>
      </c>
      <c r="G97">
        <f>_xlfn.XLOOKUP(VALUE(SalesTable[[#This Row],[product_id]]),ProductsTable[product_id],ProductsTable[unit_price],"Not Found")</f>
        <v>472.01</v>
      </c>
      <c r="H97">
        <f>SalesTable[[#This Row],[quantity]]*SalesTable[[#This Row],[unit_price]]</f>
        <v>2832.06</v>
      </c>
    </row>
    <row r="98" spans="1:8" x14ac:dyDescent="0.2">
      <c r="A98">
        <v>97</v>
      </c>
      <c r="B98">
        <v>9</v>
      </c>
      <c r="C98" s="1">
        <v>46174</v>
      </c>
      <c r="D98">
        <v>2</v>
      </c>
      <c r="E98" t="str">
        <f>_xlfn.XLOOKUP(SalesTable[[#This Row],[product_id]],ProductsTable[product_id],ProductsTable[product_name],"Not Found")</f>
        <v>Mini PC</v>
      </c>
      <c r="F98" t="str">
        <f>_xlfn.XLOOKUP(SalesTable[[#This Row],[product_id]],ProductsTable[product_id],ProductsTable[category],"Not Found")</f>
        <v>Computer</v>
      </c>
      <c r="G98">
        <f>_xlfn.XLOOKUP(VALUE(SalesTable[[#This Row],[product_id]]),ProductsTable[product_id],ProductsTable[unit_price],"Not Found")</f>
        <v>844.86</v>
      </c>
      <c r="H98">
        <f>SalesTable[[#This Row],[quantity]]*SalesTable[[#This Row],[unit_price]]</f>
        <v>1689.72</v>
      </c>
    </row>
    <row r="99" spans="1:8" x14ac:dyDescent="0.2">
      <c r="A99">
        <v>98</v>
      </c>
      <c r="B99">
        <v>1</v>
      </c>
      <c r="C99" s="1">
        <v>46224</v>
      </c>
      <c r="D99">
        <v>3</v>
      </c>
      <c r="E99" t="str">
        <f>_xlfn.XLOOKUP(SalesTable[[#This Row],[product_id]],ProductsTable[product_id],ProductsTable[product_name],"Not Found")</f>
        <v>Wireless Mouse</v>
      </c>
      <c r="F99" t="str">
        <f>_xlfn.XLOOKUP(SalesTable[[#This Row],[product_id]],ProductsTable[product_id],ProductsTable[category],"Not Found")</f>
        <v>Accessories</v>
      </c>
      <c r="G99">
        <f>_xlfn.XLOOKUP(VALUE(SalesTable[[#This Row],[product_id]]),ProductsTable[product_id],ProductsTable[unit_price],"Not Found")</f>
        <v>62.84</v>
      </c>
      <c r="H99">
        <f>SalesTable[[#This Row],[quantity]]*SalesTable[[#This Row],[unit_price]]</f>
        <v>188.52</v>
      </c>
    </row>
    <row r="100" spans="1:8" x14ac:dyDescent="0.2">
      <c r="A100">
        <v>99</v>
      </c>
      <c r="B100">
        <v>13</v>
      </c>
      <c r="C100" s="1">
        <v>46237</v>
      </c>
      <c r="D100">
        <v>1</v>
      </c>
      <c r="E100" t="str">
        <f>_xlfn.XLOOKUP(SalesTable[[#This Row],[product_id]],ProductsTable[product_id],ProductsTable[product_name],"Not Found")</f>
        <v>Soundbar</v>
      </c>
      <c r="F100" t="str">
        <f>_xlfn.XLOOKUP(SalesTable[[#This Row],[product_id]],ProductsTable[product_id],ProductsTable[category],"Not Found")</f>
        <v>Audio</v>
      </c>
      <c r="G100">
        <f>_xlfn.XLOOKUP(VALUE(SalesTable[[#This Row],[product_id]]),ProductsTable[product_id],ProductsTable[unit_price],"Not Found")</f>
        <v>487.7</v>
      </c>
      <c r="H100">
        <f>SalesTable[[#This Row],[quantity]]*SalesTable[[#This Row],[unit_price]]</f>
        <v>487.7</v>
      </c>
    </row>
    <row r="101" spans="1:8" x14ac:dyDescent="0.2">
      <c r="A101">
        <v>100</v>
      </c>
      <c r="B101">
        <v>7</v>
      </c>
      <c r="C101" s="1">
        <v>46236</v>
      </c>
      <c r="D101">
        <v>2</v>
      </c>
      <c r="E101" t="str">
        <f>_xlfn.XLOOKUP(SalesTable[[#This Row],[product_id]],ProductsTable[product_id],ProductsTable[product_name],"Not Found")</f>
        <v>Gaming Laptop</v>
      </c>
      <c r="F101" t="str">
        <f>_xlfn.XLOOKUP(SalesTable[[#This Row],[product_id]],ProductsTable[product_id],ProductsTable[category],"Not Found")</f>
        <v>Computer</v>
      </c>
      <c r="G101">
        <f>_xlfn.XLOOKUP(VALUE(SalesTable[[#This Row],[product_id]]),ProductsTable[product_id],ProductsTable[unit_price],"Not Found")</f>
        <v>1107.2</v>
      </c>
      <c r="H101">
        <f>SalesTable[[#This Row],[quantity]]*SalesTable[[#This Row],[unit_price]]</f>
        <v>2214.4</v>
      </c>
    </row>
    <row r="102" spans="1:8" x14ac:dyDescent="0.2">
      <c r="A102">
        <v>101</v>
      </c>
      <c r="B102">
        <v>9</v>
      </c>
      <c r="C102" s="1">
        <v>46240</v>
      </c>
      <c r="D102">
        <v>2</v>
      </c>
      <c r="E102" t="str">
        <f>_xlfn.XLOOKUP(SalesTable[[#This Row],[product_id]],ProductsTable[product_id],ProductsTable[product_name],"Not Found")</f>
        <v>Mini PC</v>
      </c>
      <c r="F102" t="str">
        <f>_xlfn.XLOOKUP(SalesTable[[#This Row],[product_id]],ProductsTable[product_id],ProductsTable[category],"Not Found")</f>
        <v>Computer</v>
      </c>
      <c r="G102">
        <f>_xlfn.XLOOKUP(VALUE(SalesTable[[#This Row],[product_id]]),ProductsTable[product_id],ProductsTable[unit_price],"Not Found")</f>
        <v>844.86</v>
      </c>
      <c r="H102">
        <f>SalesTable[[#This Row],[quantity]]*SalesTable[[#This Row],[unit_price]]</f>
        <v>1689.72</v>
      </c>
    </row>
    <row r="103" spans="1:8" x14ac:dyDescent="0.2">
      <c r="A103">
        <v>102</v>
      </c>
      <c r="B103">
        <v>11</v>
      </c>
      <c r="C103" s="1">
        <v>46224</v>
      </c>
      <c r="D103">
        <v>3</v>
      </c>
      <c r="E103" t="str">
        <f>_xlfn.XLOOKUP(SalesTable[[#This Row],[product_id]],ProductsTable[product_id],ProductsTable[product_name],"Not Found")</f>
        <v>Bluetooth Speaker</v>
      </c>
      <c r="F103" t="str">
        <f>_xlfn.XLOOKUP(SalesTable[[#This Row],[product_id]],ProductsTable[product_id],ProductsTable[category],"Not Found")</f>
        <v>Audio</v>
      </c>
      <c r="G103">
        <f>_xlfn.XLOOKUP(VALUE(SalesTable[[#This Row],[product_id]]),ProductsTable[product_id],ProductsTable[unit_price],"Not Found")</f>
        <v>233.04</v>
      </c>
      <c r="H103">
        <f>SalesTable[[#This Row],[quantity]]*SalesTable[[#This Row],[unit_price]]</f>
        <v>699.12</v>
      </c>
    </row>
    <row r="104" spans="1:8" x14ac:dyDescent="0.2">
      <c r="A104">
        <v>103</v>
      </c>
      <c r="B104">
        <v>4</v>
      </c>
      <c r="C104" s="1">
        <v>46219</v>
      </c>
      <c r="D104">
        <v>7</v>
      </c>
      <c r="E104" t="str">
        <f>_xlfn.XLOOKUP(SalesTable[[#This Row],[product_id]],ProductsTable[product_id],ProductsTable[product_name],"Not Found")</f>
        <v>Webcam Cover</v>
      </c>
      <c r="F104" t="str">
        <f>_xlfn.XLOOKUP(SalesTable[[#This Row],[product_id]],ProductsTable[product_id],ProductsTable[category],"Not Found")</f>
        <v>Accessories</v>
      </c>
      <c r="G104">
        <f>_xlfn.XLOOKUP(VALUE(SalesTable[[#This Row],[product_id]]),ProductsTable[product_id],ProductsTable[unit_price],"Not Found")</f>
        <v>71.17</v>
      </c>
      <c r="H104">
        <f>SalesTable[[#This Row],[quantity]]*SalesTable[[#This Row],[unit_price]]</f>
        <v>498.19</v>
      </c>
    </row>
    <row r="105" spans="1:8" x14ac:dyDescent="0.2">
      <c r="A105">
        <v>104</v>
      </c>
      <c r="B105">
        <v>21</v>
      </c>
      <c r="C105" s="1">
        <v>46190</v>
      </c>
      <c r="D105">
        <v>7</v>
      </c>
      <c r="E105" t="str">
        <f>_xlfn.XLOOKUP(SalesTable[[#This Row],[product_id]],ProductsTable[product_id],ProductsTable[product_name],"Not Found")</f>
        <v>Wi-Fi Router</v>
      </c>
      <c r="F105" t="str">
        <f>_xlfn.XLOOKUP(SalesTable[[#This Row],[product_id]],ProductsTable[product_id],ProductsTable[category],"Not Found")</f>
        <v>Networking</v>
      </c>
      <c r="G105">
        <f>_xlfn.XLOOKUP(VALUE(SalesTable[[#This Row],[product_id]]),ProductsTable[product_id],ProductsTable[unit_price],"Not Found")</f>
        <v>147.08000000000001</v>
      </c>
      <c r="H105">
        <f>SalesTable[[#This Row],[quantity]]*SalesTable[[#This Row],[unit_price]]</f>
        <v>1029.5600000000002</v>
      </c>
    </row>
    <row r="106" spans="1:8" x14ac:dyDescent="0.2">
      <c r="A106">
        <v>105</v>
      </c>
      <c r="B106">
        <v>19</v>
      </c>
      <c r="C106" s="1">
        <v>46185</v>
      </c>
      <c r="D106">
        <v>5</v>
      </c>
      <c r="E106" t="str">
        <f>_xlfn.XLOOKUP(SalesTable[[#This Row],[product_id]],ProductsTable[product_id],ProductsTable[product_name],"Not Found")</f>
        <v>Monitor Arm</v>
      </c>
      <c r="F106" t="str">
        <f>_xlfn.XLOOKUP(SalesTable[[#This Row],[product_id]],ProductsTable[product_id],ProductsTable[category],"Not Found")</f>
        <v>Office</v>
      </c>
      <c r="G106">
        <f>_xlfn.XLOOKUP(VALUE(SalesTable[[#This Row],[product_id]]),ProductsTable[product_id],ProductsTable[unit_price],"Not Found")</f>
        <v>250.25</v>
      </c>
      <c r="H106">
        <f>SalesTable[[#This Row],[quantity]]*SalesTable[[#This Row],[unit_price]]</f>
        <v>1251.25</v>
      </c>
    </row>
    <row r="107" spans="1:8" x14ac:dyDescent="0.2">
      <c r="A107">
        <v>106</v>
      </c>
      <c r="B107">
        <v>17</v>
      </c>
      <c r="C107" s="1">
        <v>46180</v>
      </c>
      <c r="D107">
        <v>4</v>
      </c>
      <c r="E107" t="str">
        <f>_xlfn.XLOOKUP(SalesTable[[#This Row],[product_id]],ProductsTable[product_id],ProductsTable[product_name],"Not Found")</f>
        <v>Desk Lamp</v>
      </c>
      <c r="F107" t="str">
        <f>_xlfn.XLOOKUP(SalesTable[[#This Row],[product_id]],ProductsTable[product_id],ProductsTable[category],"Not Found")</f>
        <v>Office</v>
      </c>
      <c r="G107">
        <f>_xlfn.XLOOKUP(VALUE(SalesTable[[#This Row],[product_id]]),ProductsTable[product_id],ProductsTable[unit_price],"Not Found")</f>
        <v>25.28</v>
      </c>
      <c r="H107">
        <f>SalesTable[[#This Row],[quantity]]*SalesTable[[#This Row],[unit_price]]</f>
        <v>101.12</v>
      </c>
    </row>
    <row r="108" spans="1:8" x14ac:dyDescent="0.2">
      <c r="A108">
        <v>107</v>
      </c>
      <c r="B108">
        <v>8</v>
      </c>
      <c r="C108" s="1">
        <v>46188</v>
      </c>
      <c r="D108">
        <v>3</v>
      </c>
      <c r="E108" t="str">
        <f>_xlfn.XLOOKUP(SalesTable[[#This Row],[product_id]],ProductsTable[product_id],ProductsTable[product_name],"Not Found")</f>
        <v>Desktop Computer</v>
      </c>
      <c r="F108" t="str">
        <f>_xlfn.XLOOKUP(SalesTable[[#This Row],[product_id]],ProductsTable[product_id],ProductsTable[category],"Not Found")</f>
        <v>Computer</v>
      </c>
      <c r="G108">
        <f>_xlfn.XLOOKUP(VALUE(SalesTable[[#This Row],[product_id]]),ProductsTable[product_id],ProductsTable[unit_price],"Not Found")</f>
        <v>1387.44</v>
      </c>
      <c r="H108">
        <f>SalesTable[[#This Row],[quantity]]*SalesTable[[#This Row],[unit_price]]</f>
        <v>4162.32</v>
      </c>
    </row>
    <row r="109" spans="1:8" x14ac:dyDescent="0.2">
      <c r="A109">
        <v>108</v>
      </c>
      <c r="B109">
        <v>15</v>
      </c>
      <c r="C109" s="1">
        <v>46200</v>
      </c>
      <c r="D109">
        <v>5</v>
      </c>
      <c r="E109" t="str">
        <f>_xlfn.XLOOKUP(SalesTable[[#This Row],[product_id]],ProductsTable[product_id],ProductsTable[product_name],"Not Found")</f>
        <v>Wireless Earbuds</v>
      </c>
      <c r="F109" t="str">
        <f>_xlfn.XLOOKUP(SalesTable[[#This Row],[product_id]],ProductsTable[product_id],ProductsTable[category],"Not Found")</f>
        <v>Audio</v>
      </c>
      <c r="G109">
        <f>_xlfn.XLOOKUP(VALUE(SalesTable[[#This Row],[product_id]]),ProductsTable[product_id],ProductsTable[unit_price],"Not Found")</f>
        <v>250.32</v>
      </c>
      <c r="H109">
        <f>SalesTable[[#This Row],[quantity]]*SalesTable[[#This Row],[unit_price]]</f>
        <v>1251.5999999999999</v>
      </c>
    </row>
    <row r="110" spans="1:8" x14ac:dyDescent="0.2">
      <c r="A110">
        <v>109</v>
      </c>
      <c r="B110">
        <v>6</v>
      </c>
      <c r="C110" s="1">
        <v>46176</v>
      </c>
      <c r="D110">
        <v>2</v>
      </c>
      <c r="E110" t="str">
        <f>_xlfn.XLOOKUP(SalesTable[[#This Row],[product_id]],ProductsTable[product_id],ProductsTable[product_name],"Not Found")</f>
        <v>Business Laptop</v>
      </c>
      <c r="F110" t="str">
        <f>_xlfn.XLOOKUP(SalesTable[[#This Row],[product_id]],ProductsTable[product_id],ProductsTable[category],"Not Found")</f>
        <v>Computer</v>
      </c>
      <c r="G110">
        <f>_xlfn.XLOOKUP(VALUE(SalesTable[[#This Row],[product_id]]),ProductsTable[product_id],ProductsTable[unit_price],"Not Found")</f>
        <v>146.37</v>
      </c>
      <c r="H110">
        <f>SalesTable[[#This Row],[quantity]]*SalesTable[[#This Row],[unit_price]]</f>
        <v>292.74</v>
      </c>
    </row>
    <row r="111" spans="1:8" x14ac:dyDescent="0.2">
      <c r="A111">
        <v>110</v>
      </c>
      <c r="B111">
        <v>1</v>
      </c>
      <c r="C111" s="1">
        <v>46187</v>
      </c>
      <c r="D111">
        <v>5</v>
      </c>
      <c r="E111" t="str">
        <f>_xlfn.XLOOKUP(SalesTable[[#This Row],[product_id]],ProductsTable[product_id],ProductsTable[product_name],"Not Found")</f>
        <v>Wireless Mouse</v>
      </c>
      <c r="F111" t="str">
        <f>_xlfn.XLOOKUP(SalesTable[[#This Row],[product_id]],ProductsTable[product_id],ProductsTable[category],"Not Found")</f>
        <v>Accessories</v>
      </c>
      <c r="G111">
        <f>_xlfn.XLOOKUP(VALUE(SalesTable[[#This Row],[product_id]]),ProductsTable[product_id],ProductsTable[unit_price],"Not Found")</f>
        <v>62.84</v>
      </c>
      <c r="H111">
        <f>SalesTable[[#This Row],[quantity]]*SalesTable[[#This Row],[unit_price]]</f>
        <v>314.20000000000005</v>
      </c>
    </row>
    <row r="112" spans="1:8" x14ac:dyDescent="0.2">
      <c r="A112">
        <v>111</v>
      </c>
      <c r="B112">
        <v>11</v>
      </c>
      <c r="C112" s="1">
        <v>46240</v>
      </c>
      <c r="D112">
        <v>4</v>
      </c>
      <c r="E112" t="str">
        <f>_xlfn.XLOOKUP(SalesTable[[#This Row],[product_id]],ProductsTable[product_id],ProductsTable[product_name],"Not Found")</f>
        <v>Bluetooth Speaker</v>
      </c>
      <c r="F112" t="str">
        <f>_xlfn.XLOOKUP(SalesTable[[#This Row],[product_id]],ProductsTable[product_id],ProductsTable[category],"Not Found")</f>
        <v>Audio</v>
      </c>
      <c r="G112">
        <f>_xlfn.XLOOKUP(VALUE(SalesTable[[#This Row],[product_id]]),ProductsTable[product_id],ProductsTable[unit_price],"Not Found")</f>
        <v>233.04</v>
      </c>
      <c r="H112">
        <f>SalesTable[[#This Row],[quantity]]*SalesTable[[#This Row],[unit_price]]</f>
        <v>932.16</v>
      </c>
    </row>
    <row r="113" spans="1:8" x14ac:dyDescent="0.2">
      <c r="A113">
        <v>112</v>
      </c>
      <c r="B113">
        <v>24</v>
      </c>
      <c r="C113" s="1">
        <v>46181</v>
      </c>
      <c r="D113">
        <v>6</v>
      </c>
      <c r="E113" t="str">
        <f>_xlfn.XLOOKUP(SalesTable[[#This Row],[product_id]],ProductsTable[product_id],ProductsTable[product_name],"Not Found")</f>
        <v>Ethernet Adapter</v>
      </c>
      <c r="F113" t="str">
        <f>_xlfn.XLOOKUP(SalesTable[[#This Row],[product_id]],ProductsTable[product_id],ProductsTable[category],"Not Found")</f>
        <v>Networking</v>
      </c>
      <c r="G113">
        <f>_xlfn.XLOOKUP(VALUE(SalesTable[[#This Row],[product_id]]),ProductsTable[product_id],ProductsTable[unit_price],"Not Found")</f>
        <v>486.94</v>
      </c>
      <c r="H113">
        <f>SalesTable[[#This Row],[quantity]]*SalesTable[[#This Row],[unit_price]]</f>
        <v>2921.64</v>
      </c>
    </row>
    <row r="114" spans="1:8" x14ac:dyDescent="0.2">
      <c r="A114">
        <v>113</v>
      </c>
      <c r="B114">
        <v>3</v>
      </c>
      <c r="C114" s="1">
        <v>46218</v>
      </c>
      <c r="D114">
        <v>2</v>
      </c>
      <c r="E114" t="str">
        <f>_xlfn.XLOOKUP(SalesTable[[#This Row],[product_id]],ProductsTable[product_id],ProductsTable[product_name],"Not Found")</f>
        <v>Laptop Stand</v>
      </c>
      <c r="F114" t="str">
        <f>_xlfn.XLOOKUP(SalesTable[[#This Row],[product_id]],ProductsTable[product_id],ProductsTable[category],"Not Found")</f>
        <v>Accessories</v>
      </c>
      <c r="G114">
        <f>_xlfn.XLOOKUP(VALUE(SalesTable[[#This Row],[product_id]]),ProductsTable[product_id],ProductsTable[unit_price],"Not Found")</f>
        <v>38.270000000000003</v>
      </c>
      <c r="H114">
        <f>SalesTable[[#This Row],[quantity]]*SalesTable[[#This Row],[unit_price]]</f>
        <v>76.540000000000006</v>
      </c>
    </row>
    <row r="115" spans="1:8" x14ac:dyDescent="0.2">
      <c r="A115">
        <v>114</v>
      </c>
      <c r="B115">
        <v>19</v>
      </c>
      <c r="C115" s="1">
        <v>46166</v>
      </c>
      <c r="D115">
        <v>1</v>
      </c>
      <c r="E115" t="str">
        <f>_xlfn.XLOOKUP(SalesTable[[#This Row],[product_id]],ProductsTable[product_id],ProductsTable[product_name],"Not Found")</f>
        <v>Monitor Arm</v>
      </c>
      <c r="F115" t="str">
        <f>_xlfn.XLOOKUP(SalesTable[[#This Row],[product_id]],ProductsTable[product_id],ProductsTable[category],"Not Found")</f>
        <v>Office</v>
      </c>
      <c r="G115">
        <f>_xlfn.XLOOKUP(VALUE(SalesTable[[#This Row],[product_id]]),ProductsTable[product_id],ProductsTable[unit_price],"Not Found")</f>
        <v>250.25</v>
      </c>
      <c r="H115">
        <f>SalesTable[[#This Row],[quantity]]*SalesTable[[#This Row],[unit_price]]</f>
        <v>250.25</v>
      </c>
    </row>
    <row r="116" spans="1:8" x14ac:dyDescent="0.2">
      <c r="A116">
        <v>115</v>
      </c>
      <c r="B116">
        <v>24</v>
      </c>
      <c r="C116" s="1">
        <v>46198</v>
      </c>
      <c r="D116">
        <v>1</v>
      </c>
      <c r="E116" t="str">
        <f>_xlfn.XLOOKUP(SalesTable[[#This Row],[product_id]],ProductsTable[product_id],ProductsTable[product_name],"Not Found")</f>
        <v>Ethernet Adapter</v>
      </c>
      <c r="F116" t="str">
        <f>_xlfn.XLOOKUP(SalesTable[[#This Row],[product_id]],ProductsTable[product_id],ProductsTable[category],"Not Found")</f>
        <v>Networking</v>
      </c>
      <c r="G116">
        <f>_xlfn.XLOOKUP(VALUE(SalesTable[[#This Row],[product_id]]),ProductsTable[product_id],ProductsTable[unit_price],"Not Found")</f>
        <v>486.94</v>
      </c>
      <c r="H116">
        <f>SalesTable[[#This Row],[quantity]]*SalesTable[[#This Row],[unit_price]]</f>
        <v>486.94</v>
      </c>
    </row>
    <row r="117" spans="1:8" x14ac:dyDescent="0.2">
      <c r="A117">
        <v>116</v>
      </c>
      <c r="B117">
        <v>11</v>
      </c>
      <c r="C117" s="1">
        <v>46235</v>
      </c>
      <c r="D117">
        <v>2</v>
      </c>
      <c r="E117" t="str">
        <f>_xlfn.XLOOKUP(SalesTable[[#This Row],[product_id]],ProductsTable[product_id],ProductsTable[product_name],"Not Found")</f>
        <v>Bluetooth Speaker</v>
      </c>
      <c r="F117" t="str">
        <f>_xlfn.XLOOKUP(SalesTable[[#This Row],[product_id]],ProductsTable[product_id],ProductsTable[category],"Not Found")</f>
        <v>Audio</v>
      </c>
      <c r="G117">
        <f>_xlfn.XLOOKUP(VALUE(SalesTable[[#This Row],[product_id]]),ProductsTable[product_id],ProductsTable[unit_price],"Not Found")</f>
        <v>233.04</v>
      </c>
      <c r="H117">
        <f>SalesTable[[#This Row],[quantity]]*SalesTable[[#This Row],[unit_price]]</f>
        <v>466.08</v>
      </c>
    </row>
    <row r="118" spans="1:8" x14ac:dyDescent="0.2">
      <c r="A118">
        <v>117</v>
      </c>
      <c r="B118">
        <v>9</v>
      </c>
      <c r="C118" s="1">
        <v>46191</v>
      </c>
      <c r="D118">
        <v>3</v>
      </c>
      <c r="E118" t="str">
        <f>_xlfn.XLOOKUP(SalesTable[[#This Row],[product_id]],ProductsTable[product_id],ProductsTable[product_name],"Not Found")</f>
        <v>Mini PC</v>
      </c>
      <c r="F118" t="str">
        <f>_xlfn.XLOOKUP(SalesTable[[#This Row],[product_id]],ProductsTable[product_id],ProductsTable[category],"Not Found")</f>
        <v>Computer</v>
      </c>
      <c r="G118">
        <f>_xlfn.XLOOKUP(VALUE(SalesTable[[#This Row],[product_id]]),ProductsTable[product_id],ProductsTable[unit_price],"Not Found")</f>
        <v>844.86</v>
      </c>
      <c r="H118">
        <f>SalesTable[[#This Row],[quantity]]*SalesTable[[#This Row],[unit_price]]</f>
        <v>2534.58</v>
      </c>
    </row>
    <row r="119" spans="1:8" x14ac:dyDescent="0.2">
      <c r="A119">
        <v>118</v>
      </c>
      <c r="B119">
        <v>14</v>
      </c>
      <c r="C119" s="1">
        <v>46212</v>
      </c>
      <c r="D119">
        <v>1</v>
      </c>
      <c r="E119" t="str">
        <f>_xlfn.XLOOKUP(SalesTable[[#This Row],[product_id]],ProductsTable[product_id],ProductsTable[product_name],"Not Found")</f>
        <v>USB Microphone</v>
      </c>
      <c r="F119" t="str">
        <f>_xlfn.XLOOKUP(SalesTable[[#This Row],[product_id]],ProductsTable[product_id],ProductsTable[category],"Not Found")</f>
        <v>Audio</v>
      </c>
      <c r="G119">
        <f>_xlfn.XLOOKUP(VALUE(SalesTable[[#This Row],[product_id]]),ProductsTable[product_id],ProductsTable[unit_price],"Not Found")</f>
        <v>176.19</v>
      </c>
      <c r="H119">
        <f>SalesTable[[#This Row],[quantity]]*SalesTable[[#This Row],[unit_price]]</f>
        <v>176.19</v>
      </c>
    </row>
    <row r="120" spans="1:8" x14ac:dyDescent="0.2">
      <c r="A120">
        <v>119</v>
      </c>
      <c r="B120">
        <v>10</v>
      </c>
      <c r="C120" s="1">
        <v>46242</v>
      </c>
      <c r="D120">
        <v>3</v>
      </c>
      <c r="E120" t="str">
        <f>_xlfn.XLOOKUP(SalesTable[[#This Row],[product_id]],ProductsTable[product_id],ProductsTable[product_name],"Not Found")</f>
        <v>Workstation</v>
      </c>
      <c r="F120" t="str">
        <f>_xlfn.XLOOKUP(SalesTable[[#This Row],[product_id]],ProductsTable[product_id],ProductsTable[category],"Not Found")</f>
        <v>Computer</v>
      </c>
      <c r="G120">
        <f>_xlfn.XLOOKUP(VALUE(SalesTable[[#This Row],[product_id]]),ProductsTable[product_id],ProductsTable[unit_price],"Not Found")</f>
        <v>718.81</v>
      </c>
      <c r="H120">
        <f>SalesTable[[#This Row],[quantity]]*SalesTable[[#This Row],[unit_price]]</f>
        <v>2156.4299999999998</v>
      </c>
    </row>
    <row r="121" spans="1:8" x14ac:dyDescent="0.2">
      <c r="A121">
        <v>120</v>
      </c>
      <c r="B121">
        <v>2</v>
      </c>
      <c r="C121" s="1">
        <v>46234</v>
      </c>
      <c r="D121">
        <v>1</v>
      </c>
      <c r="E121" t="str">
        <f>_xlfn.XLOOKUP(SalesTable[[#This Row],[product_id]],ProductsTable[product_id],ProductsTable[product_name],"Not Found")</f>
        <v>USB-C Cable</v>
      </c>
      <c r="F121" t="str">
        <f>_xlfn.XLOOKUP(SalesTable[[#This Row],[product_id]],ProductsTable[product_id],ProductsTable[category],"Not Found")</f>
        <v>Accessories</v>
      </c>
      <c r="G121">
        <f>_xlfn.XLOOKUP(VALUE(SalesTable[[#This Row],[product_id]]),ProductsTable[product_id],ProductsTable[unit_price],"Not Found")</f>
        <v>17.239999999999998</v>
      </c>
      <c r="H121">
        <f>SalesTable[[#This Row],[quantity]]*SalesTable[[#This Row],[unit_price]]</f>
        <v>17.239999999999998</v>
      </c>
    </row>
    <row r="122" spans="1:8" x14ac:dyDescent="0.2">
      <c r="A122">
        <v>121</v>
      </c>
      <c r="B122">
        <v>3</v>
      </c>
      <c r="C122" s="1">
        <v>46171</v>
      </c>
      <c r="D122">
        <v>4</v>
      </c>
      <c r="E122" t="str">
        <f>_xlfn.XLOOKUP(SalesTable[[#This Row],[product_id]],ProductsTable[product_id],ProductsTable[product_name],"Not Found")</f>
        <v>Laptop Stand</v>
      </c>
      <c r="F122" t="str">
        <f>_xlfn.XLOOKUP(SalesTable[[#This Row],[product_id]],ProductsTable[product_id],ProductsTable[category],"Not Found")</f>
        <v>Accessories</v>
      </c>
      <c r="G122">
        <f>_xlfn.XLOOKUP(VALUE(SalesTable[[#This Row],[product_id]]),ProductsTable[product_id],ProductsTable[unit_price],"Not Found")</f>
        <v>38.270000000000003</v>
      </c>
      <c r="H122">
        <f>SalesTable[[#This Row],[quantity]]*SalesTable[[#This Row],[unit_price]]</f>
        <v>153.08000000000001</v>
      </c>
    </row>
    <row r="123" spans="1:8" x14ac:dyDescent="0.2">
      <c r="A123">
        <v>122</v>
      </c>
      <c r="B123">
        <v>23</v>
      </c>
      <c r="C123" s="1">
        <v>46241</v>
      </c>
      <c r="D123">
        <v>7</v>
      </c>
      <c r="E123" t="str">
        <f>_xlfn.XLOOKUP(SalesTable[[#This Row],[product_id]],ProductsTable[product_id],ProductsTable[product_name],"Not Found")</f>
        <v>Wi-Fi Extender</v>
      </c>
      <c r="F123" t="str">
        <f>_xlfn.XLOOKUP(SalesTable[[#This Row],[product_id]],ProductsTable[product_id],ProductsTable[category],"Not Found")</f>
        <v>Networking</v>
      </c>
      <c r="G123">
        <f>_xlfn.XLOOKUP(VALUE(SalesTable[[#This Row],[product_id]]),ProductsTable[product_id],ProductsTable[unit_price],"Not Found")</f>
        <v>519.54999999999995</v>
      </c>
      <c r="H123">
        <f>SalesTable[[#This Row],[quantity]]*SalesTable[[#This Row],[unit_price]]</f>
        <v>3636.8499999999995</v>
      </c>
    </row>
    <row r="124" spans="1:8" x14ac:dyDescent="0.2">
      <c r="A124">
        <v>123</v>
      </c>
      <c r="B124">
        <v>16</v>
      </c>
      <c r="C124" s="1">
        <v>46239</v>
      </c>
      <c r="D124">
        <v>5</v>
      </c>
      <c r="E124" t="str">
        <f>_xlfn.XLOOKUP(SalesTable[[#This Row],[product_id]],ProductsTable[product_id],ProductsTable[product_name],"Not Found")</f>
        <v>Office Chair</v>
      </c>
      <c r="F124" t="str">
        <f>_xlfn.XLOOKUP(SalesTable[[#This Row],[product_id]],ProductsTable[product_id],ProductsTable[category],"Not Found")</f>
        <v>Office</v>
      </c>
      <c r="G124">
        <f>_xlfn.XLOOKUP(VALUE(SalesTable[[#This Row],[product_id]]),ProductsTable[product_id],ProductsTable[unit_price],"Not Found")</f>
        <v>282.3</v>
      </c>
      <c r="H124">
        <f>SalesTable[[#This Row],[quantity]]*SalesTable[[#This Row],[unit_price]]</f>
        <v>1411.5</v>
      </c>
    </row>
    <row r="125" spans="1:8" x14ac:dyDescent="0.2">
      <c r="A125">
        <v>124</v>
      </c>
      <c r="B125">
        <v>15</v>
      </c>
      <c r="C125" s="1">
        <v>46209</v>
      </c>
      <c r="D125">
        <v>3</v>
      </c>
      <c r="E125" t="str">
        <f>_xlfn.XLOOKUP(SalesTable[[#This Row],[product_id]],ProductsTable[product_id],ProductsTable[product_name],"Not Found")</f>
        <v>Wireless Earbuds</v>
      </c>
      <c r="F125" t="str">
        <f>_xlfn.XLOOKUP(SalesTable[[#This Row],[product_id]],ProductsTable[product_id],ProductsTable[category],"Not Found")</f>
        <v>Audio</v>
      </c>
      <c r="G125">
        <f>_xlfn.XLOOKUP(VALUE(SalesTable[[#This Row],[product_id]]),ProductsTable[product_id],ProductsTable[unit_price],"Not Found")</f>
        <v>250.32</v>
      </c>
      <c r="H125">
        <f>SalesTable[[#This Row],[quantity]]*SalesTable[[#This Row],[unit_price]]</f>
        <v>750.96</v>
      </c>
    </row>
    <row r="126" spans="1:8" x14ac:dyDescent="0.2">
      <c r="A126">
        <v>125</v>
      </c>
      <c r="B126">
        <v>23</v>
      </c>
      <c r="C126" s="1">
        <v>46172</v>
      </c>
      <c r="D126">
        <v>8</v>
      </c>
      <c r="E126" t="str">
        <f>_xlfn.XLOOKUP(SalesTable[[#This Row],[product_id]],ProductsTable[product_id],ProductsTable[product_name],"Not Found")</f>
        <v>Wi-Fi Extender</v>
      </c>
      <c r="F126" t="str">
        <f>_xlfn.XLOOKUP(SalesTable[[#This Row],[product_id]],ProductsTable[product_id],ProductsTable[category],"Not Found")</f>
        <v>Networking</v>
      </c>
      <c r="G126">
        <f>_xlfn.XLOOKUP(VALUE(SalesTable[[#This Row],[product_id]]),ProductsTable[product_id],ProductsTable[unit_price],"Not Found")</f>
        <v>519.54999999999995</v>
      </c>
      <c r="H126">
        <f>SalesTable[[#This Row],[quantity]]*SalesTable[[#This Row],[unit_price]]</f>
        <v>4156.3999999999996</v>
      </c>
    </row>
    <row r="127" spans="1:8" x14ac:dyDescent="0.2">
      <c r="A127">
        <v>126</v>
      </c>
      <c r="B127">
        <v>16</v>
      </c>
      <c r="C127" s="1">
        <v>46239</v>
      </c>
      <c r="D127">
        <v>5</v>
      </c>
      <c r="E127" t="str">
        <f>_xlfn.XLOOKUP(SalesTable[[#This Row],[product_id]],ProductsTable[product_id],ProductsTable[product_name],"Not Found")</f>
        <v>Office Chair</v>
      </c>
      <c r="F127" t="str">
        <f>_xlfn.XLOOKUP(SalesTable[[#This Row],[product_id]],ProductsTable[product_id],ProductsTable[category],"Not Found")</f>
        <v>Office</v>
      </c>
      <c r="G127">
        <f>_xlfn.XLOOKUP(VALUE(SalesTable[[#This Row],[product_id]]),ProductsTable[product_id],ProductsTable[unit_price],"Not Found")</f>
        <v>282.3</v>
      </c>
      <c r="H127">
        <f>SalesTable[[#This Row],[quantity]]*SalesTable[[#This Row],[unit_price]]</f>
        <v>1411.5</v>
      </c>
    </row>
    <row r="128" spans="1:8" x14ac:dyDescent="0.2">
      <c r="A128">
        <v>127</v>
      </c>
      <c r="B128">
        <v>16</v>
      </c>
      <c r="C128" s="1">
        <v>46174</v>
      </c>
      <c r="D128">
        <v>1</v>
      </c>
      <c r="E128" t="str">
        <f>_xlfn.XLOOKUP(SalesTable[[#This Row],[product_id]],ProductsTable[product_id],ProductsTable[product_name],"Not Found")</f>
        <v>Office Chair</v>
      </c>
      <c r="F128" t="str">
        <f>_xlfn.XLOOKUP(SalesTable[[#This Row],[product_id]],ProductsTable[product_id],ProductsTable[category],"Not Found")</f>
        <v>Office</v>
      </c>
      <c r="G128">
        <f>_xlfn.XLOOKUP(VALUE(SalesTable[[#This Row],[product_id]]),ProductsTable[product_id],ProductsTable[unit_price],"Not Found")</f>
        <v>282.3</v>
      </c>
      <c r="H128">
        <f>SalesTable[[#This Row],[quantity]]*SalesTable[[#This Row],[unit_price]]</f>
        <v>282.3</v>
      </c>
    </row>
    <row r="129" spans="1:8" x14ac:dyDescent="0.2">
      <c r="A129">
        <v>128</v>
      </c>
      <c r="B129">
        <v>19</v>
      </c>
      <c r="C129" s="1">
        <v>46209</v>
      </c>
      <c r="D129">
        <v>3</v>
      </c>
      <c r="E129" t="str">
        <f>_xlfn.XLOOKUP(SalesTable[[#This Row],[product_id]],ProductsTable[product_id],ProductsTable[product_name],"Not Found")</f>
        <v>Monitor Arm</v>
      </c>
      <c r="F129" t="str">
        <f>_xlfn.XLOOKUP(SalesTable[[#This Row],[product_id]],ProductsTable[product_id],ProductsTable[category],"Not Found")</f>
        <v>Office</v>
      </c>
      <c r="G129">
        <f>_xlfn.XLOOKUP(VALUE(SalesTable[[#This Row],[product_id]]),ProductsTable[product_id],ProductsTable[unit_price],"Not Found")</f>
        <v>250.25</v>
      </c>
      <c r="H129">
        <f>SalesTable[[#This Row],[quantity]]*SalesTable[[#This Row],[unit_price]]</f>
        <v>750.75</v>
      </c>
    </row>
    <row r="130" spans="1:8" x14ac:dyDescent="0.2">
      <c r="A130">
        <v>129</v>
      </c>
      <c r="B130">
        <v>15</v>
      </c>
      <c r="C130" s="1">
        <v>46245</v>
      </c>
      <c r="D130">
        <v>6</v>
      </c>
      <c r="E130" t="str">
        <f>_xlfn.XLOOKUP(SalesTable[[#This Row],[product_id]],ProductsTable[product_id],ProductsTable[product_name],"Not Found")</f>
        <v>Wireless Earbuds</v>
      </c>
      <c r="F130" t="str">
        <f>_xlfn.XLOOKUP(SalesTable[[#This Row],[product_id]],ProductsTable[product_id],ProductsTable[category],"Not Found")</f>
        <v>Audio</v>
      </c>
      <c r="G130">
        <f>_xlfn.XLOOKUP(VALUE(SalesTable[[#This Row],[product_id]]),ProductsTable[product_id],ProductsTable[unit_price],"Not Found")</f>
        <v>250.32</v>
      </c>
      <c r="H130">
        <f>SalesTable[[#This Row],[quantity]]*SalesTable[[#This Row],[unit_price]]</f>
        <v>1501.92</v>
      </c>
    </row>
    <row r="131" spans="1:8" x14ac:dyDescent="0.2">
      <c r="A131">
        <v>130</v>
      </c>
      <c r="B131">
        <v>24</v>
      </c>
      <c r="C131" s="1">
        <v>46169</v>
      </c>
      <c r="D131">
        <v>3</v>
      </c>
      <c r="E131" t="str">
        <f>_xlfn.XLOOKUP(SalesTable[[#This Row],[product_id]],ProductsTable[product_id],ProductsTable[product_name],"Not Found")</f>
        <v>Ethernet Adapter</v>
      </c>
      <c r="F131" t="str">
        <f>_xlfn.XLOOKUP(SalesTable[[#This Row],[product_id]],ProductsTable[product_id],ProductsTable[category],"Not Found")</f>
        <v>Networking</v>
      </c>
      <c r="G131">
        <f>_xlfn.XLOOKUP(VALUE(SalesTable[[#This Row],[product_id]]),ProductsTable[product_id],ProductsTable[unit_price],"Not Found")</f>
        <v>486.94</v>
      </c>
      <c r="H131">
        <f>SalesTable[[#This Row],[quantity]]*SalesTable[[#This Row],[unit_price]]</f>
        <v>1460.82</v>
      </c>
    </row>
    <row r="132" spans="1:8" x14ac:dyDescent="0.2">
      <c r="A132">
        <v>131</v>
      </c>
      <c r="B132">
        <v>10</v>
      </c>
      <c r="C132" s="1">
        <v>46224</v>
      </c>
      <c r="D132">
        <v>1</v>
      </c>
      <c r="E132" t="str">
        <f>_xlfn.XLOOKUP(SalesTable[[#This Row],[product_id]],ProductsTable[product_id],ProductsTable[product_name],"Not Found")</f>
        <v>Workstation</v>
      </c>
      <c r="F132" t="str">
        <f>_xlfn.XLOOKUP(SalesTable[[#This Row],[product_id]],ProductsTable[product_id],ProductsTable[category],"Not Found")</f>
        <v>Computer</v>
      </c>
      <c r="G132">
        <f>_xlfn.XLOOKUP(VALUE(SalesTable[[#This Row],[product_id]]),ProductsTable[product_id],ProductsTable[unit_price],"Not Found")</f>
        <v>718.81</v>
      </c>
      <c r="H132">
        <f>SalesTable[[#This Row],[quantity]]*SalesTable[[#This Row],[unit_price]]</f>
        <v>718.81</v>
      </c>
    </row>
    <row r="133" spans="1:8" x14ac:dyDescent="0.2">
      <c r="A133">
        <v>132</v>
      </c>
      <c r="B133">
        <v>9</v>
      </c>
      <c r="C133" s="1">
        <v>46234</v>
      </c>
      <c r="D133">
        <v>1</v>
      </c>
      <c r="E133" t="str">
        <f>_xlfn.XLOOKUP(SalesTable[[#This Row],[product_id]],ProductsTable[product_id],ProductsTable[product_name],"Not Found")</f>
        <v>Mini PC</v>
      </c>
      <c r="F133" t="str">
        <f>_xlfn.XLOOKUP(SalesTable[[#This Row],[product_id]],ProductsTable[product_id],ProductsTable[category],"Not Found")</f>
        <v>Computer</v>
      </c>
      <c r="G133">
        <f>_xlfn.XLOOKUP(VALUE(SalesTable[[#This Row],[product_id]]),ProductsTable[product_id],ProductsTable[unit_price],"Not Found")</f>
        <v>844.86</v>
      </c>
      <c r="H133">
        <f>SalesTable[[#This Row],[quantity]]*SalesTable[[#This Row],[unit_price]]</f>
        <v>844.86</v>
      </c>
    </row>
    <row r="134" spans="1:8" x14ac:dyDescent="0.2">
      <c r="A134">
        <v>133</v>
      </c>
      <c r="B134">
        <v>20</v>
      </c>
      <c r="C134" s="1">
        <v>46210</v>
      </c>
      <c r="D134">
        <v>2</v>
      </c>
      <c r="E134" t="str">
        <f>_xlfn.XLOOKUP(SalesTable[[#This Row],[product_id]],ProductsTable[product_id],ProductsTable[product_name],"Not Found")</f>
        <v>Keyboard Tray</v>
      </c>
      <c r="F134" t="str">
        <f>_xlfn.XLOOKUP(SalesTable[[#This Row],[product_id]],ProductsTable[product_id],ProductsTable[category],"Not Found")</f>
        <v>Office</v>
      </c>
      <c r="G134">
        <f>_xlfn.XLOOKUP(VALUE(SalesTable[[#This Row],[product_id]]),ProductsTable[product_id],ProductsTable[unit_price],"Not Found")</f>
        <v>62.2</v>
      </c>
      <c r="H134">
        <f>SalesTable[[#This Row],[quantity]]*SalesTable[[#This Row],[unit_price]]</f>
        <v>124.4</v>
      </c>
    </row>
    <row r="135" spans="1:8" x14ac:dyDescent="0.2">
      <c r="A135">
        <v>134</v>
      </c>
      <c r="B135">
        <v>5</v>
      </c>
      <c r="C135" s="1">
        <v>46239</v>
      </c>
      <c r="D135">
        <v>6</v>
      </c>
      <c r="E135" t="str">
        <f>_xlfn.XLOOKUP(SalesTable[[#This Row],[product_id]],ProductsTable[product_id],ProductsTable[product_name],"Not Found")</f>
        <v>Mouse Pad</v>
      </c>
      <c r="F135" t="str">
        <f>_xlfn.XLOOKUP(SalesTable[[#This Row],[product_id]],ProductsTable[product_id],ProductsTable[category],"Not Found")</f>
        <v>Accessories</v>
      </c>
      <c r="G135">
        <f>_xlfn.XLOOKUP(VALUE(SalesTable[[#This Row],[product_id]]),ProductsTable[product_id],ProductsTable[unit_price],"Not Found")</f>
        <v>31.46</v>
      </c>
      <c r="H135">
        <f>SalesTable[[#This Row],[quantity]]*SalesTable[[#This Row],[unit_price]]</f>
        <v>188.76</v>
      </c>
    </row>
    <row r="136" spans="1:8" x14ac:dyDescent="0.2">
      <c r="A136">
        <v>135</v>
      </c>
      <c r="B136">
        <v>1</v>
      </c>
      <c r="C136" s="1">
        <v>46178</v>
      </c>
      <c r="D136">
        <v>9</v>
      </c>
      <c r="E136" t="str">
        <f>_xlfn.XLOOKUP(SalesTable[[#This Row],[product_id]],ProductsTable[product_id],ProductsTable[product_name],"Not Found")</f>
        <v>Wireless Mouse</v>
      </c>
      <c r="F136" t="str">
        <f>_xlfn.XLOOKUP(SalesTable[[#This Row],[product_id]],ProductsTable[product_id],ProductsTable[category],"Not Found")</f>
        <v>Accessories</v>
      </c>
      <c r="G136">
        <f>_xlfn.XLOOKUP(VALUE(SalesTable[[#This Row],[product_id]]),ProductsTable[product_id],ProductsTable[unit_price],"Not Found")</f>
        <v>62.84</v>
      </c>
      <c r="H136">
        <f>SalesTable[[#This Row],[quantity]]*SalesTable[[#This Row],[unit_price]]</f>
        <v>565.56000000000006</v>
      </c>
    </row>
    <row r="137" spans="1:8" x14ac:dyDescent="0.2">
      <c r="A137">
        <v>136</v>
      </c>
      <c r="B137">
        <v>1</v>
      </c>
      <c r="C137" s="1">
        <v>46180</v>
      </c>
      <c r="D137">
        <v>5</v>
      </c>
      <c r="E137" t="str">
        <f>_xlfn.XLOOKUP(SalesTable[[#This Row],[product_id]],ProductsTable[product_id],ProductsTable[product_name],"Not Found")</f>
        <v>Wireless Mouse</v>
      </c>
      <c r="F137" t="str">
        <f>_xlfn.XLOOKUP(SalesTable[[#This Row],[product_id]],ProductsTable[product_id],ProductsTable[category],"Not Found")</f>
        <v>Accessories</v>
      </c>
      <c r="G137">
        <f>_xlfn.XLOOKUP(VALUE(SalesTable[[#This Row],[product_id]]),ProductsTable[product_id],ProductsTable[unit_price],"Not Found")</f>
        <v>62.84</v>
      </c>
      <c r="H137">
        <f>SalesTable[[#This Row],[quantity]]*SalesTable[[#This Row],[unit_price]]</f>
        <v>314.20000000000005</v>
      </c>
    </row>
    <row r="138" spans="1:8" x14ac:dyDescent="0.2">
      <c r="A138">
        <v>137</v>
      </c>
      <c r="B138">
        <v>25</v>
      </c>
      <c r="C138" s="1">
        <v>46167</v>
      </c>
      <c r="D138">
        <v>7</v>
      </c>
      <c r="E138" t="str">
        <f>_xlfn.XLOOKUP(SalesTable[[#This Row],[product_id]],ProductsTable[product_id],ProductsTable[product_name],"Not Found")</f>
        <v>Mesh Wi-Fi System</v>
      </c>
      <c r="F138" t="str">
        <f>_xlfn.XLOOKUP(SalesTable[[#This Row],[product_id]],ProductsTable[product_id],ProductsTable[category],"Not Found")</f>
        <v>Networking</v>
      </c>
      <c r="G138">
        <f>_xlfn.XLOOKUP(VALUE(SalesTable[[#This Row],[product_id]]),ProductsTable[product_id],ProductsTable[unit_price],"Not Found")</f>
        <v>472.01</v>
      </c>
      <c r="H138">
        <f>SalesTable[[#This Row],[quantity]]*SalesTable[[#This Row],[unit_price]]</f>
        <v>3304.0699999999997</v>
      </c>
    </row>
    <row r="139" spans="1:8" x14ac:dyDescent="0.2">
      <c r="A139">
        <v>138</v>
      </c>
      <c r="B139">
        <v>18</v>
      </c>
      <c r="C139" s="1">
        <v>46199</v>
      </c>
      <c r="D139">
        <v>1</v>
      </c>
      <c r="E139" t="str">
        <f>_xlfn.XLOOKUP(SalesTable[[#This Row],[product_id]],ProductsTable[product_id],ProductsTable[product_name],"Not Found")</f>
        <v>Standing Desk</v>
      </c>
      <c r="F139" t="str">
        <f>_xlfn.XLOOKUP(SalesTable[[#This Row],[product_id]],ProductsTable[product_id],ProductsTable[category],"Not Found")</f>
        <v>Office</v>
      </c>
      <c r="G139">
        <f>_xlfn.XLOOKUP(VALUE(SalesTable[[#This Row],[product_id]]),ProductsTable[product_id],ProductsTable[unit_price],"Not Found")</f>
        <v>191.24</v>
      </c>
      <c r="H139">
        <f>SalesTable[[#This Row],[quantity]]*SalesTable[[#This Row],[unit_price]]</f>
        <v>191.24</v>
      </c>
    </row>
    <row r="140" spans="1:8" x14ac:dyDescent="0.2">
      <c r="A140">
        <v>139</v>
      </c>
      <c r="B140">
        <v>19</v>
      </c>
      <c r="C140" s="1">
        <v>46207</v>
      </c>
      <c r="D140">
        <v>3</v>
      </c>
      <c r="E140" t="str">
        <f>_xlfn.XLOOKUP(SalesTable[[#This Row],[product_id]],ProductsTable[product_id],ProductsTable[product_name],"Not Found")</f>
        <v>Monitor Arm</v>
      </c>
      <c r="F140" t="str">
        <f>_xlfn.XLOOKUP(SalesTable[[#This Row],[product_id]],ProductsTable[product_id],ProductsTable[category],"Not Found")</f>
        <v>Office</v>
      </c>
      <c r="G140">
        <f>_xlfn.XLOOKUP(VALUE(SalesTable[[#This Row],[product_id]]),ProductsTable[product_id],ProductsTable[unit_price],"Not Found")</f>
        <v>250.25</v>
      </c>
      <c r="H140">
        <f>SalesTable[[#This Row],[quantity]]*SalesTable[[#This Row],[unit_price]]</f>
        <v>750.75</v>
      </c>
    </row>
    <row r="141" spans="1:8" x14ac:dyDescent="0.2">
      <c r="A141">
        <v>140</v>
      </c>
      <c r="B141">
        <v>1</v>
      </c>
      <c r="C141" s="1">
        <v>46218</v>
      </c>
      <c r="D141">
        <v>2</v>
      </c>
      <c r="E141" t="str">
        <f>_xlfn.XLOOKUP(SalesTable[[#This Row],[product_id]],ProductsTable[product_id],ProductsTable[product_name],"Not Found")</f>
        <v>Wireless Mouse</v>
      </c>
      <c r="F141" t="str">
        <f>_xlfn.XLOOKUP(SalesTable[[#This Row],[product_id]],ProductsTable[product_id],ProductsTable[category],"Not Found")</f>
        <v>Accessories</v>
      </c>
      <c r="G141">
        <f>_xlfn.XLOOKUP(VALUE(SalesTable[[#This Row],[product_id]]),ProductsTable[product_id],ProductsTable[unit_price],"Not Found")</f>
        <v>62.84</v>
      </c>
      <c r="H141">
        <f>SalesTable[[#This Row],[quantity]]*SalesTable[[#This Row],[unit_price]]</f>
        <v>125.68</v>
      </c>
    </row>
    <row r="142" spans="1:8" x14ac:dyDescent="0.2">
      <c r="A142">
        <v>141</v>
      </c>
      <c r="B142">
        <v>18</v>
      </c>
      <c r="C142" s="1">
        <v>46191</v>
      </c>
      <c r="D142">
        <v>2</v>
      </c>
      <c r="E142" t="str">
        <f>_xlfn.XLOOKUP(SalesTable[[#This Row],[product_id]],ProductsTable[product_id],ProductsTable[product_name],"Not Found")</f>
        <v>Standing Desk</v>
      </c>
      <c r="F142" t="str">
        <f>_xlfn.XLOOKUP(SalesTable[[#This Row],[product_id]],ProductsTable[product_id],ProductsTable[category],"Not Found")</f>
        <v>Office</v>
      </c>
      <c r="G142">
        <f>_xlfn.XLOOKUP(VALUE(SalesTable[[#This Row],[product_id]]),ProductsTable[product_id],ProductsTable[unit_price],"Not Found")</f>
        <v>191.24</v>
      </c>
      <c r="H142">
        <f>SalesTable[[#This Row],[quantity]]*SalesTable[[#This Row],[unit_price]]</f>
        <v>382.48</v>
      </c>
    </row>
    <row r="143" spans="1:8" x14ac:dyDescent="0.2">
      <c r="A143">
        <v>142</v>
      </c>
      <c r="B143">
        <v>11</v>
      </c>
      <c r="C143" s="1">
        <v>46198</v>
      </c>
      <c r="D143">
        <v>2</v>
      </c>
      <c r="E143" t="str">
        <f>_xlfn.XLOOKUP(SalesTable[[#This Row],[product_id]],ProductsTable[product_id],ProductsTable[product_name],"Not Found")</f>
        <v>Bluetooth Speaker</v>
      </c>
      <c r="F143" t="str">
        <f>_xlfn.XLOOKUP(SalesTable[[#This Row],[product_id]],ProductsTable[product_id],ProductsTable[category],"Not Found")</f>
        <v>Audio</v>
      </c>
      <c r="G143">
        <f>_xlfn.XLOOKUP(VALUE(SalesTable[[#This Row],[product_id]]),ProductsTable[product_id],ProductsTable[unit_price],"Not Found")</f>
        <v>233.04</v>
      </c>
      <c r="H143">
        <f>SalesTable[[#This Row],[quantity]]*SalesTable[[#This Row],[unit_price]]</f>
        <v>466.08</v>
      </c>
    </row>
    <row r="144" spans="1:8" x14ac:dyDescent="0.2">
      <c r="A144">
        <v>143</v>
      </c>
      <c r="B144">
        <v>24</v>
      </c>
      <c r="C144" s="1">
        <v>46252</v>
      </c>
      <c r="D144">
        <v>6</v>
      </c>
      <c r="E144" t="str">
        <f>_xlfn.XLOOKUP(SalesTable[[#This Row],[product_id]],ProductsTable[product_id],ProductsTable[product_name],"Not Found")</f>
        <v>Ethernet Adapter</v>
      </c>
      <c r="F144" t="str">
        <f>_xlfn.XLOOKUP(SalesTable[[#This Row],[product_id]],ProductsTable[product_id],ProductsTable[category],"Not Found")</f>
        <v>Networking</v>
      </c>
      <c r="G144">
        <f>_xlfn.XLOOKUP(VALUE(SalesTable[[#This Row],[product_id]]),ProductsTable[product_id],ProductsTable[unit_price],"Not Found")</f>
        <v>486.94</v>
      </c>
      <c r="H144">
        <f>SalesTable[[#This Row],[quantity]]*SalesTable[[#This Row],[unit_price]]</f>
        <v>2921.64</v>
      </c>
    </row>
    <row r="145" spans="1:8" x14ac:dyDescent="0.2">
      <c r="A145">
        <v>144</v>
      </c>
      <c r="B145">
        <v>5</v>
      </c>
      <c r="C145" s="1">
        <v>46184</v>
      </c>
      <c r="D145">
        <v>9</v>
      </c>
      <c r="E145" t="str">
        <f>_xlfn.XLOOKUP(SalesTable[[#This Row],[product_id]],ProductsTable[product_id],ProductsTable[product_name],"Not Found")</f>
        <v>Mouse Pad</v>
      </c>
      <c r="F145" t="str">
        <f>_xlfn.XLOOKUP(SalesTable[[#This Row],[product_id]],ProductsTable[product_id],ProductsTable[category],"Not Found")</f>
        <v>Accessories</v>
      </c>
      <c r="G145">
        <f>_xlfn.XLOOKUP(VALUE(SalesTable[[#This Row],[product_id]]),ProductsTable[product_id],ProductsTable[unit_price],"Not Found")</f>
        <v>31.46</v>
      </c>
      <c r="H145">
        <f>SalesTable[[#This Row],[quantity]]*SalesTable[[#This Row],[unit_price]]</f>
        <v>283.14</v>
      </c>
    </row>
    <row r="146" spans="1:8" x14ac:dyDescent="0.2">
      <c r="A146">
        <v>145</v>
      </c>
      <c r="B146">
        <v>9</v>
      </c>
      <c r="C146" s="1">
        <v>46238</v>
      </c>
      <c r="D146">
        <v>1</v>
      </c>
      <c r="E146" t="str">
        <f>_xlfn.XLOOKUP(SalesTable[[#This Row],[product_id]],ProductsTable[product_id],ProductsTable[product_name],"Not Found")</f>
        <v>Mini PC</v>
      </c>
      <c r="F146" t="str">
        <f>_xlfn.XLOOKUP(SalesTable[[#This Row],[product_id]],ProductsTable[product_id],ProductsTable[category],"Not Found")</f>
        <v>Computer</v>
      </c>
      <c r="G146">
        <f>_xlfn.XLOOKUP(VALUE(SalesTable[[#This Row],[product_id]]),ProductsTable[product_id],ProductsTable[unit_price],"Not Found")</f>
        <v>844.86</v>
      </c>
      <c r="H146">
        <f>SalesTable[[#This Row],[quantity]]*SalesTable[[#This Row],[unit_price]]</f>
        <v>844.86</v>
      </c>
    </row>
    <row r="147" spans="1:8" x14ac:dyDescent="0.2">
      <c r="A147">
        <v>146</v>
      </c>
      <c r="B147">
        <v>10</v>
      </c>
      <c r="C147" s="1">
        <v>46232</v>
      </c>
      <c r="D147">
        <v>3</v>
      </c>
      <c r="E147" t="str">
        <f>_xlfn.XLOOKUP(SalesTable[[#This Row],[product_id]],ProductsTable[product_id],ProductsTable[product_name],"Not Found")</f>
        <v>Workstation</v>
      </c>
      <c r="F147" t="str">
        <f>_xlfn.XLOOKUP(SalesTable[[#This Row],[product_id]],ProductsTable[product_id],ProductsTable[category],"Not Found")</f>
        <v>Computer</v>
      </c>
      <c r="G147">
        <f>_xlfn.XLOOKUP(VALUE(SalesTable[[#This Row],[product_id]]),ProductsTable[product_id],ProductsTable[unit_price],"Not Found")</f>
        <v>718.81</v>
      </c>
      <c r="H147">
        <f>SalesTable[[#This Row],[quantity]]*SalesTable[[#This Row],[unit_price]]</f>
        <v>2156.4299999999998</v>
      </c>
    </row>
    <row r="148" spans="1:8" x14ac:dyDescent="0.2">
      <c r="A148">
        <v>147</v>
      </c>
      <c r="B148">
        <v>12</v>
      </c>
      <c r="C148" s="1">
        <v>46204</v>
      </c>
      <c r="D148">
        <v>1</v>
      </c>
      <c r="E148" t="str">
        <f>_xlfn.XLOOKUP(SalesTable[[#This Row],[product_id]],ProductsTable[product_id],ProductsTable[product_name],"Not Found")</f>
        <v>Wireless Headphones</v>
      </c>
      <c r="F148" t="str">
        <f>_xlfn.XLOOKUP(SalesTable[[#This Row],[product_id]],ProductsTable[product_id],ProductsTable[category],"Not Found")</f>
        <v>Audio</v>
      </c>
      <c r="G148">
        <f>_xlfn.XLOOKUP(VALUE(SalesTable[[#This Row],[product_id]]),ProductsTable[product_id],ProductsTable[unit_price],"Not Found")</f>
        <v>358.79</v>
      </c>
      <c r="H148">
        <f>SalesTable[[#This Row],[quantity]]*SalesTable[[#This Row],[unit_price]]</f>
        <v>358.79</v>
      </c>
    </row>
    <row r="149" spans="1:8" x14ac:dyDescent="0.2">
      <c r="A149">
        <v>148</v>
      </c>
      <c r="B149">
        <v>24</v>
      </c>
      <c r="C149" s="1">
        <v>46225</v>
      </c>
      <c r="D149">
        <v>1</v>
      </c>
      <c r="E149" t="str">
        <f>_xlfn.XLOOKUP(SalesTable[[#This Row],[product_id]],ProductsTable[product_id],ProductsTable[product_name],"Not Found")</f>
        <v>Ethernet Adapter</v>
      </c>
      <c r="F149" t="str">
        <f>_xlfn.XLOOKUP(SalesTable[[#This Row],[product_id]],ProductsTable[product_id],ProductsTable[category],"Not Found")</f>
        <v>Networking</v>
      </c>
      <c r="G149">
        <f>_xlfn.XLOOKUP(VALUE(SalesTable[[#This Row],[product_id]]),ProductsTable[product_id],ProductsTable[unit_price],"Not Found")</f>
        <v>486.94</v>
      </c>
      <c r="H149">
        <f>SalesTable[[#This Row],[quantity]]*SalesTable[[#This Row],[unit_price]]</f>
        <v>486.94</v>
      </c>
    </row>
    <row r="150" spans="1:8" x14ac:dyDescent="0.2">
      <c r="A150">
        <v>149</v>
      </c>
      <c r="B150">
        <v>7</v>
      </c>
      <c r="C150" s="1">
        <v>46178</v>
      </c>
      <c r="D150">
        <v>1</v>
      </c>
      <c r="E150" t="str">
        <f>_xlfn.XLOOKUP(SalesTable[[#This Row],[product_id]],ProductsTable[product_id],ProductsTable[product_name],"Not Found")</f>
        <v>Gaming Laptop</v>
      </c>
      <c r="F150" t="str">
        <f>_xlfn.XLOOKUP(SalesTable[[#This Row],[product_id]],ProductsTable[product_id],ProductsTable[category],"Not Found")</f>
        <v>Computer</v>
      </c>
      <c r="G150">
        <f>_xlfn.XLOOKUP(VALUE(SalesTable[[#This Row],[product_id]]),ProductsTable[product_id],ProductsTable[unit_price],"Not Found")</f>
        <v>1107.2</v>
      </c>
      <c r="H150">
        <f>SalesTable[[#This Row],[quantity]]*SalesTable[[#This Row],[unit_price]]</f>
        <v>1107.2</v>
      </c>
    </row>
    <row r="151" spans="1:8" x14ac:dyDescent="0.2">
      <c r="A151">
        <v>150</v>
      </c>
      <c r="B151">
        <v>24</v>
      </c>
      <c r="C151" s="1">
        <v>46163</v>
      </c>
      <c r="D151">
        <v>3</v>
      </c>
      <c r="E151" t="str">
        <f>_xlfn.XLOOKUP(SalesTable[[#This Row],[product_id]],ProductsTable[product_id],ProductsTable[product_name],"Not Found")</f>
        <v>Ethernet Adapter</v>
      </c>
      <c r="F151" t="str">
        <f>_xlfn.XLOOKUP(SalesTable[[#This Row],[product_id]],ProductsTable[product_id],ProductsTable[category],"Not Found")</f>
        <v>Networking</v>
      </c>
      <c r="G151">
        <f>_xlfn.XLOOKUP(VALUE(SalesTable[[#This Row],[product_id]]),ProductsTable[product_id],ProductsTable[unit_price],"Not Found")</f>
        <v>486.94</v>
      </c>
      <c r="H151">
        <f>SalesTable[[#This Row],[quantity]]*SalesTable[[#This Row],[unit_price]]</f>
        <v>1460.82</v>
      </c>
    </row>
    <row r="152" spans="1:8" x14ac:dyDescent="0.2">
      <c r="A152">
        <v>151</v>
      </c>
      <c r="B152">
        <v>23</v>
      </c>
      <c r="C152" s="1">
        <v>46216</v>
      </c>
      <c r="D152">
        <v>1</v>
      </c>
      <c r="E152" t="str">
        <f>_xlfn.XLOOKUP(SalesTable[[#This Row],[product_id]],ProductsTable[product_id],ProductsTable[product_name],"Not Found")</f>
        <v>Wi-Fi Extender</v>
      </c>
      <c r="F152" t="str">
        <f>_xlfn.XLOOKUP(SalesTable[[#This Row],[product_id]],ProductsTable[product_id],ProductsTable[category],"Not Found")</f>
        <v>Networking</v>
      </c>
      <c r="G152">
        <f>_xlfn.XLOOKUP(VALUE(SalesTable[[#This Row],[product_id]]),ProductsTable[product_id],ProductsTable[unit_price],"Not Found")</f>
        <v>519.54999999999995</v>
      </c>
      <c r="H152">
        <f>SalesTable[[#This Row],[quantity]]*SalesTable[[#This Row],[unit_price]]</f>
        <v>519.54999999999995</v>
      </c>
    </row>
    <row r="153" spans="1:8" x14ac:dyDescent="0.2">
      <c r="A153">
        <v>152</v>
      </c>
      <c r="B153">
        <v>24</v>
      </c>
      <c r="C153" s="1">
        <v>46201</v>
      </c>
      <c r="D153">
        <v>5</v>
      </c>
      <c r="E153" t="str">
        <f>_xlfn.XLOOKUP(SalesTable[[#This Row],[product_id]],ProductsTable[product_id],ProductsTable[product_name],"Not Found")</f>
        <v>Ethernet Adapter</v>
      </c>
      <c r="F153" t="str">
        <f>_xlfn.XLOOKUP(SalesTable[[#This Row],[product_id]],ProductsTable[product_id],ProductsTable[category],"Not Found")</f>
        <v>Networking</v>
      </c>
      <c r="G153">
        <f>_xlfn.XLOOKUP(VALUE(SalesTable[[#This Row],[product_id]]),ProductsTable[product_id],ProductsTable[unit_price],"Not Found")</f>
        <v>486.94</v>
      </c>
      <c r="H153">
        <f>SalesTable[[#This Row],[quantity]]*SalesTable[[#This Row],[unit_price]]</f>
        <v>2434.6999999999998</v>
      </c>
    </row>
    <row r="154" spans="1:8" x14ac:dyDescent="0.2">
      <c r="A154">
        <v>153</v>
      </c>
      <c r="B154">
        <v>4</v>
      </c>
      <c r="C154" s="1">
        <v>46201</v>
      </c>
      <c r="D154">
        <v>4</v>
      </c>
      <c r="E154" t="str">
        <f>_xlfn.XLOOKUP(SalesTable[[#This Row],[product_id]],ProductsTable[product_id],ProductsTable[product_name],"Not Found")</f>
        <v>Webcam Cover</v>
      </c>
      <c r="F154" t="str">
        <f>_xlfn.XLOOKUP(SalesTable[[#This Row],[product_id]],ProductsTable[product_id],ProductsTable[category],"Not Found")</f>
        <v>Accessories</v>
      </c>
      <c r="G154">
        <f>_xlfn.XLOOKUP(VALUE(SalesTable[[#This Row],[product_id]]),ProductsTable[product_id],ProductsTable[unit_price],"Not Found")</f>
        <v>71.17</v>
      </c>
      <c r="H154">
        <f>SalesTable[[#This Row],[quantity]]*SalesTable[[#This Row],[unit_price]]</f>
        <v>284.68</v>
      </c>
    </row>
    <row r="155" spans="1:8" x14ac:dyDescent="0.2">
      <c r="A155">
        <v>154</v>
      </c>
      <c r="B155">
        <v>8</v>
      </c>
      <c r="C155" s="1">
        <v>46181</v>
      </c>
      <c r="D155">
        <v>1</v>
      </c>
      <c r="E155" t="str">
        <f>_xlfn.XLOOKUP(SalesTable[[#This Row],[product_id]],ProductsTable[product_id],ProductsTable[product_name],"Not Found")</f>
        <v>Desktop Computer</v>
      </c>
      <c r="F155" t="str">
        <f>_xlfn.XLOOKUP(SalesTable[[#This Row],[product_id]],ProductsTable[product_id],ProductsTable[category],"Not Found")</f>
        <v>Computer</v>
      </c>
      <c r="G155">
        <f>_xlfn.XLOOKUP(VALUE(SalesTable[[#This Row],[product_id]]),ProductsTable[product_id],ProductsTable[unit_price],"Not Found")</f>
        <v>1387.44</v>
      </c>
      <c r="H155">
        <f>SalesTable[[#This Row],[quantity]]*SalesTable[[#This Row],[unit_price]]</f>
        <v>1387.44</v>
      </c>
    </row>
    <row r="156" spans="1:8" x14ac:dyDescent="0.2">
      <c r="A156">
        <v>155</v>
      </c>
      <c r="B156">
        <v>11</v>
      </c>
      <c r="C156" s="1">
        <v>46181</v>
      </c>
      <c r="D156">
        <v>4</v>
      </c>
      <c r="E156" t="str">
        <f>_xlfn.XLOOKUP(SalesTable[[#This Row],[product_id]],ProductsTable[product_id],ProductsTable[product_name],"Not Found")</f>
        <v>Bluetooth Speaker</v>
      </c>
      <c r="F156" t="str">
        <f>_xlfn.XLOOKUP(SalesTable[[#This Row],[product_id]],ProductsTable[product_id],ProductsTable[category],"Not Found")</f>
        <v>Audio</v>
      </c>
      <c r="G156">
        <f>_xlfn.XLOOKUP(VALUE(SalesTable[[#This Row],[product_id]]),ProductsTable[product_id],ProductsTable[unit_price],"Not Found")</f>
        <v>233.04</v>
      </c>
      <c r="H156">
        <f>SalesTable[[#This Row],[quantity]]*SalesTable[[#This Row],[unit_price]]</f>
        <v>932.16</v>
      </c>
    </row>
    <row r="157" spans="1:8" x14ac:dyDescent="0.2">
      <c r="A157">
        <v>156</v>
      </c>
      <c r="B157">
        <v>12</v>
      </c>
      <c r="C157" s="1">
        <v>46249</v>
      </c>
      <c r="D157">
        <v>2</v>
      </c>
      <c r="E157" t="str">
        <f>_xlfn.XLOOKUP(SalesTable[[#This Row],[product_id]],ProductsTable[product_id],ProductsTable[product_name],"Not Found")</f>
        <v>Wireless Headphones</v>
      </c>
      <c r="F157" t="str">
        <f>_xlfn.XLOOKUP(SalesTable[[#This Row],[product_id]],ProductsTable[product_id],ProductsTable[category],"Not Found")</f>
        <v>Audio</v>
      </c>
      <c r="G157">
        <f>_xlfn.XLOOKUP(VALUE(SalesTable[[#This Row],[product_id]]),ProductsTable[product_id],ProductsTable[unit_price],"Not Found")</f>
        <v>358.79</v>
      </c>
      <c r="H157">
        <f>SalesTable[[#This Row],[quantity]]*SalesTable[[#This Row],[unit_price]]</f>
        <v>717.58</v>
      </c>
    </row>
    <row r="158" spans="1:8" x14ac:dyDescent="0.2">
      <c r="A158">
        <v>157</v>
      </c>
      <c r="B158">
        <v>16</v>
      </c>
      <c r="C158" s="1">
        <v>46204</v>
      </c>
      <c r="D158">
        <v>1</v>
      </c>
      <c r="E158" t="str">
        <f>_xlfn.XLOOKUP(SalesTable[[#This Row],[product_id]],ProductsTable[product_id],ProductsTable[product_name],"Not Found")</f>
        <v>Office Chair</v>
      </c>
      <c r="F158" t="str">
        <f>_xlfn.XLOOKUP(SalesTable[[#This Row],[product_id]],ProductsTable[product_id],ProductsTable[category],"Not Found")</f>
        <v>Office</v>
      </c>
      <c r="G158">
        <f>_xlfn.XLOOKUP(VALUE(SalesTable[[#This Row],[product_id]]),ProductsTable[product_id],ProductsTable[unit_price],"Not Found")</f>
        <v>282.3</v>
      </c>
      <c r="H158">
        <f>SalesTable[[#This Row],[quantity]]*SalesTable[[#This Row],[unit_price]]</f>
        <v>282.3</v>
      </c>
    </row>
    <row r="159" spans="1:8" x14ac:dyDescent="0.2">
      <c r="A159">
        <v>158</v>
      </c>
      <c r="B159">
        <v>25</v>
      </c>
      <c r="C159" s="1">
        <v>46210</v>
      </c>
      <c r="D159">
        <v>2</v>
      </c>
      <c r="E159" t="str">
        <f>_xlfn.XLOOKUP(SalesTable[[#This Row],[product_id]],ProductsTable[product_id],ProductsTable[product_name],"Not Found")</f>
        <v>Mesh Wi-Fi System</v>
      </c>
      <c r="F159" t="str">
        <f>_xlfn.XLOOKUP(SalesTable[[#This Row],[product_id]],ProductsTable[product_id],ProductsTable[category],"Not Found")</f>
        <v>Networking</v>
      </c>
      <c r="G159">
        <f>_xlfn.XLOOKUP(VALUE(SalesTable[[#This Row],[product_id]]),ProductsTable[product_id],ProductsTable[unit_price],"Not Found")</f>
        <v>472.01</v>
      </c>
      <c r="H159">
        <f>SalesTable[[#This Row],[quantity]]*SalesTable[[#This Row],[unit_price]]</f>
        <v>944.02</v>
      </c>
    </row>
    <row r="160" spans="1:8" x14ac:dyDescent="0.2">
      <c r="A160">
        <v>159</v>
      </c>
      <c r="B160">
        <v>13</v>
      </c>
      <c r="C160" s="1">
        <v>46163</v>
      </c>
      <c r="D160">
        <v>2</v>
      </c>
      <c r="E160" t="str">
        <f>_xlfn.XLOOKUP(SalesTable[[#This Row],[product_id]],ProductsTable[product_id],ProductsTable[product_name],"Not Found")</f>
        <v>Soundbar</v>
      </c>
      <c r="F160" t="str">
        <f>_xlfn.XLOOKUP(SalesTable[[#This Row],[product_id]],ProductsTable[product_id],ProductsTable[category],"Not Found")</f>
        <v>Audio</v>
      </c>
      <c r="G160">
        <f>_xlfn.XLOOKUP(VALUE(SalesTable[[#This Row],[product_id]]),ProductsTable[product_id],ProductsTable[unit_price],"Not Found")</f>
        <v>487.7</v>
      </c>
      <c r="H160">
        <f>SalesTable[[#This Row],[quantity]]*SalesTable[[#This Row],[unit_price]]</f>
        <v>975.4</v>
      </c>
    </row>
    <row r="161" spans="1:8" x14ac:dyDescent="0.2">
      <c r="A161">
        <v>160</v>
      </c>
      <c r="B161">
        <v>5</v>
      </c>
      <c r="C161" s="1">
        <v>46197</v>
      </c>
      <c r="D161">
        <v>6</v>
      </c>
      <c r="E161" t="str">
        <f>_xlfn.XLOOKUP(SalesTable[[#This Row],[product_id]],ProductsTable[product_id],ProductsTable[product_name],"Not Found")</f>
        <v>Mouse Pad</v>
      </c>
      <c r="F161" t="str">
        <f>_xlfn.XLOOKUP(SalesTable[[#This Row],[product_id]],ProductsTable[product_id],ProductsTable[category],"Not Found")</f>
        <v>Accessories</v>
      </c>
      <c r="G161">
        <f>_xlfn.XLOOKUP(VALUE(SalesTable[[#This Row],[product_id]]),ProductsTable[product_id],ProductsTable[unit_price],"Not Found")</f>
        <v>31.46</v>
      </c>
      <c r="H161">
        <f>SalesTable[[#This Row],[quantity]]*SalesTable[[#This Row],[unit_price]]</f>
        <v>188.76</v>
      </c>
    </row>
    <row r="162" spans="1:8" x14ac:dyDescent="0.2">
      <c r="A162">
        <v>161</v>
      </c>
      <c r="B162">
        <v>15</v>
      </c>
      <c r="C162" s="1">
        <v>46179</v>
      </c>
      <c r="D162">
        <v>4</v>
      </c>
      <c r="E162" t="str">
        <f>_xlfn.XLOOKUP(SalesTable[[#This Row],[product_id]],ProductsTable[product_id],ProductsTable[product_name],"Not Found")</f>
        <v>Wireless Earbuds</v>
      </c>
      <c r="F162" t="str">
        <f>_xlfn.XLOOKUP(SalesTable[[#This Row],[product_id]],ProductsTable[product_id],ProductsTable[category],"Not Found")</f>
        <v>Audio</v>
      </c>
      <c r="G162">
        <f>_xlfn.XLOOKUP(VALUE(SalesTable[[#This Row],[product_id]]),ProductsTable[product_id],ProductsTable[unit_price],"Not Found")</f>
        <v>250.32</v>
      </c>
      <c r="H162">
        <f>SalesTable[[#This Row],[quantity]]*SalesTable[[#This Row],[unit_price]]</f>
        <v>1001.28</v>
      </c>
    </row>
    <row r="163" spans="1:8" x14ac:dyDescent="0.2">
      <c r="A163">
        <v>162</v>
      </c>
      <c r="B163">
        <v>11</v>
      </c>
      <c r="C163" s="1">
        <v>46199</v>
      </c>
      <c r="D163">
        <v>4</v>
      </c>
      <c r="E163" t="str">
        <f>_xlfn.XLOOKUP(SalesTable[[#This Row],[product_id]],ProductsTable[product_id],ProductsTable[product_name],"Not Found")</f>
        <v>Bluetooth Speaker</v>
      </c>
      <c r="F163" t="str">
        <f>_xlfn.XLOOKUP(SalesTable[[#This Row],[product_id]],ProductsTable[product_id],ProductsTable[category],"Not Found")</f>
        <v>Audio</v>
      </c>
      <c r="G163">
        <f>_xlfn.XLOOKUP(VALUE(SalesTable[[#This Row],[product_id]]),ProductsTable[product_id],ProductsTable[unit_price],"Not Found")</f>
        <v>233.04</v>
      </c>
      <c r="H163">
        <f>SalesTable[[#This Row],[quantity]]*SalesTable[[#This Row],[unit_price]]</f>
        <v>932.16</v>
      </c>
    </row>
    <row r="164" spans="1:8" x14ac:dyDescent="0.2">
      <c r="A164">
        <v>163</v>
      </c>
      <c r="B164">
        <v>14</v>
      </c>
      <c r="C164" s="1">
        <v>46194</v>
      </c>
      <c r="D164">
        <v>4</v>
      </c>
      <c r="E164" t="str">
        <f>_xlfn.XLOOKUP(SalesTable[[#This Row],[product_id]],ProductsTable[product_id],ProductsTable[product_name],"Not Found")</f>
        <v>USB Microphone</v>
      </c>
      <c r="F164" t="str">
        <f>_xlfn.XLOOKUP(SalesTable[[#This Row],[product_id]],ProductsTable[product_id],ProductsTable[category],"Not Found")</f>
        <v>Audio</v>
      </c>
      <c r="G164">
        <f>_xlfn.XLOOKUP(VALUE(SalesTable[[#This Row],[product_id]]),ProductsTable[product_id],ProductsTable[unit_price],"Not Found")</f>
        <v>176.19</v>
      </c>
      <c r="H164">
        <f>SalesTable[[#This Row],[quantity]]*SalesTable[[#This Row],[unit_price]]</f>
        <v>704.76</v>
      </c>
    </row>
    <row r="165" spans="1:8" x14ac:dyDescent="0.2">
      <c r="A165">
        <v>164</v>
      </c>
      <c r="B165">
        <v>15</v>
      </c>
      <c r="C165" s="1">
        <v>46194</v>
      </c>
      <c r="D165">
        <v>4</v>
      </c>
      <c r="E165" t="str">
        <f>_xlfn.XLOOKUP(SalesTable[[#This Row],[product_id]],ProductsTable[product_id],ProductsTable[product_name],"Not Found")</f>
        <v>Wireless Earbuds</v>
      </c>
      <c r="F165" t="str">
        <f>_xlfn.XLOOKUP(SalesTable[[#This Row],[product_id]],ProductsTable[product_id],ProductsTable[category],"Not Found")</f>
        <v>Audio</v>
      </c>
      <c r="G165">
        <f>_xlfn.XLOOKUP(VALUE(SalesTable[[#This Row],[product_id]]),ProductsTable[product_id],ProductsTable[unit_price],"Not Found")</f>
        <v>250.32</v>
      </c>
      <c r="H165">
        <f>SalesTable[[#This Row],[quantity]]*SalesTable[[#This Row],[unit_price]]</f>
        <v>1001.28</v>
      </c>
    </row>
    <row r="166" spans="1:8" x14ac:dyDescent="0.2">
      <c r="A166">
        <v>165</v>
      </c>
      <c r="B166">
        <v>5</v>
      </c>
      <c r="C166" s="1">
        <v>46178</v>
      </c>
      <c r="D166">
        <v>7</v>
      </c>
      <c r="E166" t="str">
        <f>_xlfn.XLOOKUP(SalesTable[[#This Row],[product_id]],ProductsTable[product_id],ProductsTable[product_name],"Not Found")</f>
        <v>Mouse Pad</v>
      </c>
      <c r="F166" t="str">
        <f>_xlfn.XLOOKUP(SalesTable[[#This Row],[product_id]],ProductsTable[product_id],ProductsTable[category],"Not Found")</f>
        <v>Accessories</v>
      </c>
      <c r="G166">
        <f>_xlfn.XLOOKUP(VALUE(SalesTable[[#This Row],[product_id]]),ProductsTable[product_id],ProductsTable[unit_price],"Not Found")</f>
        <v>31.46</v>
      </c>
      <c r="H166">
        <f>SalesTable[[#This Row],[quantity]]*SalesTable[[#This Row],[unit_price]]</f>
        <v>220.22</v>
      </c>
    </row>
    <row r="167" spans="1:8" x14ac:dyDescent="0.2">
      <c r="A167">
        <v>166</v>
      </c>
      <c r="B167">
        <v>18</v>
      </c>
      <c r="C167" s="1">
        <v>46194</v>
      </c>
      <c r="D167">
        <v>2</v>
      </c>
      <c r="E167" t="str">
        <f>_xlfn.XLOOKUP(SalesTable[[#This Row],[product_id]],ProductsTable[product_id],ProductsTable[product_name],"Not Found")</f>
        <v>Standing Desk</v>
      </c>
      <c r="F167" t="str">
        <f>_xlfn.XLOOKUP(SalesTable[[#This Row],[product_id]],ProductsTable[product_id],ProductsTable[category],"Not Found")</f>
        <v>Office</v>
      </c>
      <c r="G167">
        <f>_xlfn.XLOOKUP(VALUE(SalesTable[[#This Row],[product_id]]),ProductsTable[product_id],ProductsTable[unit_price],"Not Found")</f>
        <v>191.24</v>
      </c>
      <c r="H167">
        <f>SalesTable[[#This Row],[quantity]]*SalesTable[[#This Row],[unit_price]]</f>
        <v>382.48</v>
      </c>
    </row>
    <row r="168" spans="1:8" x14ac:dyDescent="0.2">
      <c r="A168">
        <v>167</v>
      </c>
      <c r="B168">
        <v>3</v>
      </c>
      <c r="C168" s="1">
        <v>46174</v>
      </c>
      <c r="D168">
        <v>2</v>
      </c>
      <c r="E168" t="str">
        <f>_xlfn.XLOOKUP(SalesTable[[#This Row],[product_id]],ProductsTable[product_id],ProductsTable[product_name],"Not Found")</f>
        <v>Laptop Stand</v>
      </c>
      <c r="F168" t="str">
        <f>_xlfn.XLOOKUP(SalesTable[[#This Row],[product_id]],ProductsTable[product_id],ProductsTable[category],"Not Found")</f>
        <v>Accessories</v>
      </c>
      <c r="G168">
        <f>_xlfn.XLOOKUP(VALUE(SalesTable[[#This Row],[product_id]]),ProductsTable[product_id],ProductsTable[unit_price],"Not Found")</f>
        <v>38.270000000000003</v>
      </c>
      <c r="H168">
        <f>SalesTable[[#This Row],[quantity]]*SalesTable[[#This Row],[unit_price]]</f>
        <v>76.540000000000006</v>
      </c>
    </row>
    <row r="169" spans="1:8" x14ac:dyDescent="0.2">
      <c r="A169">
        <v>168</v>
      </c>
      <c r="B169">
        <v>10</v>
      </c>
      <c r="C169" s="1">
        <v>46172</v>
      </c>
      <c r="D169">
        <v>3</v>
      </c>
      <c r="E169" t="str">
        <f>_xlfn.XLOOKUP(SalesTable[[#This Row],[product_id]],ProductsTable[product_id],ProductsTable[product_name],"Not Found")</f>
        <v>Workstation</v>
      </c>
      <c r="F169" t="str">
        <f>_xlfn.XLOOKUP(SalesTable[[#This Row],[product_id]],ProductsTable[product_id],ProductsTable[category],"Not Found")</f>
        <v>Computer</v>
      </c>
      <c r="G169">
        <f>_xlfn.XLOOKUP(VALUE(SalesTable[[#This Row],[product_id]]),ProductsTable[product_id],ProductsTable[unit_price],"Not Found")</f>
        <v>718.81</v>
      </c>
      <c r="H169">
        <f>SalesTable[[#This Row],[quantity]]*SalesTable[[#This Row],[unit_price]]</f>
        <v>2156.4299999999998</v>
      </c>
    </row>
    <row r="170" spans="1:8" x14ac:dyDescent="0.2">
      <c r="A170">
        <v>169</v>
      </c>
      <c r="B170">
        <v>25</v>
      </c>
      <c r="C170" s="1">
        <v>46176</v>
      </c>
      <c r="D170">
        <v>8</v>
      </c>
      <c r="E170" t="str">
        <f>_xlfn.XLOOKUP(SalesTable[[#This Row],[product_id]],ProductsTable[product_id],ProductsTable[product_name],"Not Found")</f>
        <v>Mesh Wi-Fi System</v>
      </c>
      <c r="F170" t="str">
        <f>_xlfn.XLOOKUP(SalesTable[[#This Row],[product_id]],ProductsTable[product_id],ProductsTable[category],"Not Found")</f>
        <v>Networking</v>
      </c>
      <c r="G170">
        <f>_xlfn.XLOOKUP(VALUE(SalesTable[[#This Row],[product_id]]),ProductsTable[product_id],ProductsTable[unit_price],"Not Found")</f>
        <v>472.01</v>
      </c>
      <c r="H170">
        <f>SalesTable[[#This Row],[quantity]]*SalesTable[[#This Row],[unit_price]]</f>
        <v>3776.08</v>
      </c>
    </row>
    <row r="171" spans="1:8" x14ac:dyDescent="0.2">
      <c r="A171">
        <v>170</v>
      </c>
      <c r="B171">
        <v>18</v>
      </c>
      <c r="C171" s="1">
        <v>46206</v>
      </c>
      <c r="D171">
        <v>3</v>
      </c>
      <c r="E171" t="str">
        <f>_xlfn.XLOOKUP(SalesTable[[#This Row],[product_id]],ProductsTable[product_id],ProductsTable[product_name],"Not Found")</f>
        <v>Standing Desk</v>
      </c>
      <c r="F171" t="str">
        <f>_xlfn.XLOOKUP(SalesTable[[#This Row],[product_id]],ProductsTable[product_id],ProductsTable[category],"Not Found")</f>
        <v>Office</v>
      </c>
      <c r="G171">
        <f>_xlfn.XLOOKUP(VALUE(SalesTable[[#This Row],[product_id]]),ProductsTable[product_id],ProductsTable[unit_price],"Not Found")</f>
        <v>191.24</v>
      </c>
      <c r="H171">
        <f>SalesTable[[#This Row],[quantity]]*SalesTable[[#This Row],[unit_price]]</f>
        <v>573.72</v>
      </c>
    </row>
    <row r="172" spans="1:8" x14ac:dyDescent="0.2">
      <c r="A172">
        <v>171</v>
      </c>
      <c r="B172">
        <v>16</v>
      </c>
      <c r="C172" s="1">
        <v>46249</v>
      </c>
      <c r="D172">
        <v>4</v>
      </c>
      <c r="E172" t="str">
        <f>_xlfn.XLOOKUP(SalesTable[[#This Row],[product_id]],ProductsTable[product_id],ProductsTable[product_name],"Not Found")</f>
        <v>Office Chair</v>
      </c>
      <c r="F172" t="str">
        <f>_xlfn.XLOOKUP(SalesTable[[#This Row],[product_id]],ProductsTable[product_id],ProductsTable[category],"Not Found")</f>
        <v>Office</v>
      </c>
      <c r="G172">
        <f>_xlfn.XLOOKUP(VALUE(SalesTable[[#This Row],[product_id]]),ProductsTable[product_id],ProductsTable[unit_price],"Not Found")</f>
        <v>282.3</v>
      </c>
      <c r="H172">
        <f>SalesTable[[#This Row],[quantity]]*SalesTable[[#This Row],[unit_price]]</f>
        <v>1129.2</v>
      </c>
    </row>
    <row r="173" spans="1:8" x14ac:dyDescent="0.2">
      <c r="A173">
        <v>172</v>
      </c>
      <c r="B173">
        <v>4</v>
      </c>
      <c r="C173" s="1">
        <v>46170</v>
      </c>
      <c r="D173">
        <v>1</v>
      </c>
      <c r="E173" t="str">
        <f>_xlfn.XLOOKUP(SalesTable[[#This Row],[product_id]],ProductsTable[product_id],ProductsTable[product_name],"Not Found")</f>
        <v>Webcam Cover</v>
      </c>
      <c r="F173" t="str">
        <f>_xlfn.XLOOKUP(SalesTable[[#This Row],[product_id]],ProductsTable[product_id],ProductsTable[category],"Not Found")</f>
        <v>Accessories</v>
      </c>
      <c r="G173">
        <f>_xlfn.XLOOKUP(VALUE(SalesTable[[#This Row],[product_id]]),ProductsTable[product_id],ProductsTable[unit_price],"Not Found")</f>
        <v>71.17</v>
      </c>
      <c r="H173">
        <f>SalesTable[[#This Row],[quantity]]*SalesTable[[#This Row],[unit_price]]</f>
        <v>71.17</v>
      </c>
    </row>
    <row r="174" spans="1:8" x14ac:dyDescent="0.2">
      <c r="A174">
        <v>173</v>
      </c>
      <c r="B174">
        <v>25</v>
      </c>
      <c r="C174" s="1">
        <v>46222</v>
      </c>
      <c r="D174">
        <v>6</v>
      </c>
      <c r="E174" t="str">
        <f>_xlfn.XLOOKUP(SalesTable[[#This Row],[product_id]],ProductsTable[product_id],ProductsTable[product_name],"Not Found")</f>
        <v>Mesh Wi-Fi System</v>
      </c>
      <c r="F174" t="str">
        <f>_xlfn.XLOOKUP(SalesTable[[#This Row],[product_id]],ProductsTable[product_id],ProductsTable[category],"Not Found")</f>
        <v>Networking</v>
      </c>
      <c r="G174">
        <f>_xlfn.XLOOKUP(VALUE(SalesTable[[#This Row],[product_id]]),ProductsTable[product_id],ProductsTable[unit_price],"Not Found")</f>
        <v>472.01</v>
      </c>
      <c r="H174">
        <f>SalesTable[[#This Row],[quantity]]*SalesTable[[#This Row],[unit_price]]</f>
        <v>2832.06</v>
      </c>
    </row>
    <row r="175" spans="1:8" x14ac:dyDescent="0.2">
      <c r="A175">
        <v>174</v>
      </c>
      <c r="B175">
        <v>25</v>
      </c>
      <c r="C175" s="1">
        <v>46189</v>
      </c>
      <c r="D175">
        <v>2</v>
      </c>
      <c r="E175" t="str">
        <f>_xlfn.XLOOKUP(SalesTable[[#This Row],[product_id]],ProductsTable[product_id],ProductsTable[product_name],"Not Found")</f>
        <v>Mesh Wi-Fi System</v>
      </c>
      <c r="F175" t="str">
        <f>_xlfn.XLOOKUP(SalesTable[[#This Row],[product_id]],ProductsTable[product_id],ProductsTable[category],"Not Found")</f>
        <v>Networking</v>
      </c>
      <c r="G175">
        <f>_xlfn.XLOOKUP(VALUE(SalesTable[[#This Row],[product_id]]),ProductsTable[product_id],ProductsTable[unit_price],"Not Found")</f>
        <v>472.01</v>
      </c>
      <c r="H175">
        <f>SalesTable[[#This Row],[quantity]]*SalesTable[[#This Row],[unit_price]]</f>
        <v>944.02</v>
      </c>
    </row>
    <row r="176" spans="1:8" x14ac:dyDescent="0.2">
      <c r="A176">
        <v>175</v>
      </c>
      <c r="B176">
        <v>6</v>
      </c>
      <c r="C176" s="1">
        <v>46212</v>
      </c>
      <c r="D176">
        <v>3</v>
      </c>
      <c r="E176" t="str">
        <f>_xlfn.XLOOKUP(SalesTable[[#This Row],[product_id]],ProductsTable[product_id],ProductsTable[product_name],"Not Found")</f>
        <v>Business Laptop</v>
      </c>
      <c r="F176" t="str">
        <f>_xlfn.XLOOKUP(SalesTable[[#This Row],[product_id]],ProductsTable[product_id],ProductsTable[category],"Not Found")</f>
        <v>Computer</v>
      </c>
      <c r="G176">
        <f>_xlfn.XLOOKUP(VALUE(SalesTable[[#This Row],[product_id]]),ProductsTable[product_id],ProductsTable[unit_price],"Not Found")</f>
        <v>146.37</v>
      </c>
      <c r="H176">
        <f>SalesTable[[#This Row],[quantity]]*SalesTable[[#This Row],[unit_price]]</f>
        <v>439.11</v>
      </c>
    </row>
    <row r="177" spans="1:8" x14ac:dyDescent="0.2">
      <c r="A177">
        <v>176</v>
      </c>
      <c r="B177">
        <v>6</v>
      </c>
      <c r="C177" s="1">
        <v>46214</v>
      </c>
      <c r="D177">
        <v>1</v>
      </c>
      <c r="E177" t="str">
        <f>_xlfn.XLOOKUP(SalesTable[[#This Row],[product_id]],ProductsTable[product_id],ProductsTable[product_name],"Not Found")</f>
        <v>Business Laptop</v>
      </c>
      <c r="F177" t="str">
        <f>_xlfn.XLOOKUP(SalesTable[[#This Row],[product_id]],ProductsTable[product_id],ProductsTable[category],"Not Found")</f>
        <v>Computer</v>
      </c>
      <c r="G177">
        <f>_xlfn.XLOOKUP(VALUE(SalesTable[[#This Row],[product_id]]),ProductsTable[product_id],ProductsTable[unit_price],"Not Found")</f>
        <v>146.37</v>
      </c>
      <c r="H177">
        <f>SalesTable[[#This Row],[quantity]]*SalesTable[[#This Row],[unit_price]]</f>
        <v>146.37</v>
      </c>
    </row>
    <row r="178" spans="1:8" x14ac:dyDescent="0.2">
      <c r="A178">
        <v>177</v>
      </c>
      <c r="B178">
        <v>20</v>
      </c>
      <c r="C178" s="1">
        <v>46234</v>
      </c>
      <c r="D178">
        <v>2</v>
      </c>
      <c r="E178" t="str">
        <f>_xlfn.XLOOKUP(SalesTable[[#This Row],[product_id]],ProductsTable[product_id],ProductsTable[product_name],"Not Found")</f>
        <v>Keyboard Tray</v>
      </c>
      <c r="F178" t="str">
        <f>_xlfn.XLOOKUP(SalesTable[[#This Row],[product_id]],ProductsTable[product_id],ProductsTable[category],"Not Found")</f>
        <v>Office</v>
      </c>
      <c r="G178">
        <f>_xlfn.XLOOKUP(VALUE(SalesTable[[#This Row],[product_id]]),ProductsTable[product_id],ProductsTable[unit_price],"Not Found")</f>
        <v>62.2</v>
      </c>
      <c r="H178">
        <f>SalesTable[[#This Row],[quantity]]*SalesTable[[#This Row],[unit_price]]</f>
        <v>124.4</v>
      </c>
    </row>
    <row r="179" spans="1:8" x14ac:dyDescent="0.2">
      <c r="A179">
        <v>178</v>
      </c>
      <c r="B179">
        <v>10</v>
      </c>
      <c r="C179" s="1">
        <v>46252</v>
      </c>
      <c r="D179">
        <v>2</v>
      </c>
      <c r="E179" t="str">
        <f>_xlfn.XLOOKUP(SalesTable[[#This Row],[product_id]],ProductsTable[product_id],ProductsTable[product_name],"Not Found")</f>
        <v>Workstation</v>
      </c>
      <c r="F179" t="str">
        <f>_xlfn.XLOOKUP(SalesTable[[#This Row],[product_id]],ProductsTable[product_id],ProductsTable[category],"Not Found")</f>
        <v>Computer</v>
      </c>
      <c r="G179">
        <f>_xlfn.XLOOKUP(VALUE(SalesTable[[#This Row],[product_id]]),ProductsTable[product_id],ProductsTable[unit_price],"Not Found")</f>
        <v>718.81</v>
      </c>
      <c r="H179">
        <f>SalesTable[[#This Row],[quantity]]*SalesTable[[#This Row],[unit_price]]</f>
        <v>1437.62</v>
      </c>
    </row>
    <row r="180" spans="1:8" x14ac:dyDescent="0.2">
      <c r="A180">
        <v>179</v>
      </c>
      <c r="B180">
        <v>22</v>
      </c>
      <c r="C180" s="1">
        <v>46167</v>
      </c>
      <c r="D180">
        <v>2</v>
      </c>
      <c r="E180" t="str">
        <f>_xlfn.XLOOKUP(SalesTable[[#This Row],[product_id]],ProductsTable[product_id],ProductsTable[product_name],"Not Found")</f>
        <v>Network Switch</v>
      </c>
      <c r="F180" t="str">
        <f>_xlfn.XLOOKUP(SalesTable[[#This Row],[product_id]],ProductsTable[product_id],ProductsTable[category],"Not Found")</f>
        <v>Networking</v>
      </c>
      <c r="G180">
        <f>_xlfn.XLOOKUP(VALUE(SalesTable[[#This Row],[product_id]]),ProductsTable[product_id],ProductsTable[unit_price],"Not Found")</f>
        <v>341.92</v>
      </c>
      <c r="H180">
        <f>SalesTable[[#This Row],[quantity]]*SalesTable[[#This Row],[unit_price]]</f>
        <v>683.84</v>
      </c>
    </row>
    <row r="181" spans="1:8" x14ac:dyDescent="0.2">
      <c r="A181">
        <v>180</v>
      </c>
      <c r="B181">
        <v>16</v>
      </c>
      <c r="C181" s="1">
        <v>46229</v>
      </c>
      <c r="D181">
        <v>1</v>
      </c>
      <c r="E181" t="str">
        <f>_xlfn.XLOOKUP(SalesTable[[#This Row],[product_id]],ProductsTable[product_id],ProductsTable[product_name],"Not Found")</f>
        <v>Office Chair</v>
      </c>
      <c r="F181" t="str">
        <f>_xlfn.XLOOKUP(SalesTable[[#This Row],[product_id]],ProductsTable[product_id],ProductsTable[category],"Not Found")</f>
        <v>Office</v>
      </c>
      <c r="G181">
        <f>_xlfn.XLOOKUP(VALUE(SalesTable[[#This Row],[product_id]]),ProductsTable[product_id],ProductsTable[unit_price],"Not Found")</f>
        <v>282.3</v>
      </c>
      <c r="H181">
        <f>SalesTable[[#This Row],[quantity]]*SalesTable[[#This Row],[unit_price]]</f>
        <v>282.3</v>
      </c>
    </row>
    <row r="182" spans="1:8" x14ac:dyDescent="0.2">
      <c r="A182">
        <v>181</v>
      </c>
      <c r="B182">
        <v>12</v>
      </c>
      <c r="C182" s="1">
        <v>46172</v>
      </c>
      <c r="D182">
        <v>5</v>
      </c>
      <c r="E182" t="str">
        <f>_xlfn.XLOOKUP(SalesTable[[#This Row],[product_id]],ProductsTable[product_id],ProductsTable[product_name],"Not Found")</f>
        <v>Wireless Headphones</v>
      </c>
      <c r="F182" t="str">
        <f>_xlfn.XLOOKUP(SalesTable[[#This Row],[product_id]],ProductsTable[product_id],ProductsTable[category],"Not Found")</f>
        <v>Audio</v>
      </c>
      <c r="G182">
        <f>_xlfn.XLOOKUP(VALUE(SalesTable[[#This Row],[product_id]]),ProductsTable[product_id],ProductsTable[unit_price],"Not Found")</f>
        <v>358.79</v>
      </c>
      <c r="H182">
        <f>SalesTable[[#This Row],[quantity]]*SalesTable[[#This Row],[unit_price]]</f>
        <v>1793.95</v>
      </c>
    </row>
    <row r="183" spans="1:8" x14ac:dyDescent="0.2">
      <c r="A183">
        <v>182</v>
      </c>
      <c r="B183">
        <v>17</v>
      </c>
      <c r="C183" s="1">
        <v>46199</v>
      </c>
      <c r="D183">
        <v>3</v>
      </c>
      <c r="E183" t="str">
        <f>_xlfn.XLOOKUP(SalesTable[[#This Row],[product_id]],ProductsTable[product_id],ProductsTable[product_name],"Not Found")</f>
        <v>Desk Lamp</v>
      </c>
      <c r="F183" t="str">
        <f>_xlfn.XLOOKUP(SalesTable[[#This Row],[product_id]],ProductsTable[product_id],ProductsTable[category],"Not Found")</f>
        <v>Office</v>
      </c>
      <c r="G183">
        <f>_xlfn.XLOOKUP(VALUE(SalesTable[[#This Row],[product_id]]),ProductsTable[product_id],ProductsTable[unit_price],"Not Found")</f>
        <v>25.28</v>
      </c>
      <c r="H183">
        <f>SalesTable[[#This Row],[quantity]]*SalesTable[[#This Row],[unit_price]]</f>
        <v>75.84</v>
      </c>
    </row>
    <row r="184" spans="1:8" x14ac:dyDescent="0.2">
      <c r="A184">
        <v>183</v>
      </c>
      <c r="B184">
        <v>5</v>
      </c>
      <c r="C184" s="1">
        <v>46234</v>
      </c>
      <c r="D184">
        <v>3</v>
      </c>
      <c r="E184" t="str">
        <f>_xlfn.XLOOKUP(SalesTable[[#This Row],[product_id]],ProductsTable[product_id],ProductsTable[product_name],"Not Found")</f>
        <v>Mouse Pad</v>
      </c>
      <c r="F184" t="str">
        <f>_xlfn.XLOOKUP(SalesTable[[#This Row],[product_id]],ProductsTable[product_id],ProductsTable[category],"Not Found")</f>
        <v>Accessories</v>
      </c>
      <c r="G184">
        <f>_xlfn.XLOOKUP(VALUE(SalesTable[[#This Row],[product_id]]),ProductsTable[product_id],ProductsTable[unit_price],"Not Found")</f>
        <v>31.46</v>
      </c>
      <c r="H184">
        <f>SalesTable[[#This Row],[quantity]]*SalesTable[[#This Row],[unit_price]]</f>
        <v>94.38</v>
      </c>
    </row>
    <row r="185" spans="1:8" x14ac:dyDescent="0.2">
      <c r="A185">
        <v>184</v>
      </c>
      <c r="B185">
        <v>16</v>
      </c>
      <c r="C185" s="1">
        <v>46251</v>
      </c>
      <c r="D185">
        <v>5</v>
      </c>
      <c r="E185" t="str">
        <f>_xlfn.XLOOKUP(SalesTable[[#This Row],[product_id]],ProductsTable[product_id],ProductsTable[product_name],"Not Found")</f>
        <v>Office Chair</v>
      </c>
      <c r="F185" t="str">
        <f>_xlfn.XLOOKUP(SalesTable[[#This Row],[product_id]],ProductsTable[product_id],ProductsTable[category],"Not Found")</f>
        <v>Office</v>
      </c>
      <c r="G185">
        <f>_xlfn.XLOOKUP(VALUE(SalesTable[[#This Row],[product_id]]),ProductsTable[product_id],ProductsTable[unit_price],"Not Found")</f>
        <v>282.3</v>
      </c>
      <c r="H185">
        <f>SalesTable[[#This Row],[quantity]]*SalesTable[[#This Row],[unit_price]]</f>
        <v>1411.5</v>
      </c>
    </row>
    <row r="186" spans="1:8" x14ac:dyDescent="0.2">
      <c r="A186">
        <v>185</v>
      </c>
      <c r="B186">
        <v>5</v>
      </c>
      <c r="C186" s="1">
        <v>46174</v>
      </c>
      <c r="D186">
        <v>5</v>
      </c>
      <c r="E186" t="str">
        <f>_xlfn.XLOOKUP(SalesTable[[#This Row],[product_id]],ProductsTable[product_id],ProductsTable[product_name],"Not Found")</f>
        <v>Mouse Pad</v>
      </c>
      <c r="F186" t="str">
        <f>_xlfn.XLOOKUP(SalesTable[[#This Row],[product_id]],ProductsTable[product_id],ProductsTable[category],"Not Found")</f>
        <v>Accessories</v>
      </c>
      <c r="G186">
        <f>_xlfn.XLOOKUP(VALUE(SalesTable[[#This Row],[product_id]]),ProductsTable[product_id],ProductsTable[unit_price],"Not Found")</f>
        <v>31.46</v>
      </c>
      <c r="H186">
        <f>SalesTable[[#This Row],[quantity]]*SalesTable[[#This Row],[unit_price]]</f>
        <v>157.30000000000001</v>
      </c>
    </row>
    <row r="187" spans="1:8" x14ac:dyDescent="0.2">
      <c r="A187">
        <v>186</v>
      </c>
      <c r="B187">
        <v>13</v>
      </c>
      <c r="C187" s="1">
        <v>46184</v>
      </c>
      <c r="D187">
        <v>5</v>
      </c>
      <c r="E187" t="str">
        <f>_xlfn.XLOOKUP(SalesTable[[#This Row],[product_id]],ProductsTable[product_id],ProductsTable[product_name],"Not Found")</f>
        <v>Soundbar</v>
      </c>
      <c r="F187" t="str">
        <f>_xlfn.XLOOKUP(SalesTable[[#This Row],[product_id]],ProductsTable[product_id],ProductsTable[category],"Not Found")</f>
        <v>Audio</v>
      </c>
      <c r="G187">
        <f>_xlfn.XLOOKUP(VALUE(SalesTable[[#This Row],[product_id]]),ProductsTable[product_id],ProductsTable[unit_price],"Not Found")</f>
        <v>487.7</v>
      </c>
      <c r="H187">
        <f>SalesTable[[#This Row],[quantity]]*SalesTable[[#This Row],[unit_price]]</f>
        <v>2438.5</v>
      </c>
    </row>
    <row r="188" spans="1:8" x14ac:dyDescent="0.2">
      <c r="A188">
        <v>187</v>
      </c>
      <c r="B188">
        <v>10</v>
      </c>
      <c r="C188" s="1">
        <v>46242</v>
      </c>
      <c r="D188">
        <v>2</v>
      </c>
      <c r="E188" t="str">
        <f>_xlfn.XLOOKUP(SalesTable[[#This Row],[product_id]],ProductsTable[product_id],ProductsTable[product_name],"Not Found")</f>
        <v>Workstation</v>
      </c>
      <c r="F188" t="str">
        <f>_xlfn.XLOOKUP(SalesTable[[#This Row],[product_id]],ProductsTable[product_id],ProductsTable[category],"Not Found")</f>
        <v>Computer</v>
      </c>
      <c r="G188">
        <f>_xlfn.XLOOKUP(VALUE(SalesTable[[#This Row],[product_id]]),ProductsTable[product_id],ProductsTable[unit_price],"Not Found")</f>
        <v>718.81</v>
      </c>
      <c r="H188">
        <f>SalesTable[[#This Row],[quantity]]*SalesTable[[#This Row],[unit_price]]</f>
        <v>1437.62</v>
      </c>
    </row>
    <row r="189" spans="1:8" x14ac:dyDescent="0.2">
      <c r="A189">
        <v>188</v>
      </c>
      <c r="B189">
        <v>22</v>
      </c>
      <c r="C189" s="1">
        <v>46232</v>
      </c>
      <c r="D189">
        <v>5</v>
      </c>
      <c r="E189" t="str">
        <f>_xlfn.XLOOKUP(SalesTable[[#This Row],[product_id]],ProductsTable[product_id],ProductsTable[product_name],"Not Found")</f>
        <v>Network Switch</v>
      </c>
      <c r="F189" t="str">
        <f>_xlfn.XLOOKUP(SalesTable[[#This Row],[product_id]],ProductsTable[product_id],ProductsTable[category],"Not Found")</f>
        <v>Networking</v>
      </c>
      <c r="G189">
        <f>_xlfn.XLOOKUP(VALUE(SalesTable[[#This Row],[product_id]]),ProductsTable[product_id],ProductsTable[unit_price],"Not Found")</f>
        <v>341.92</v>
      </c>
      <c r="H189">
        <f>SalesTable[[#This Row],[quantity]]*SalesTable[[#This Row],[unit_price]]</f>
        <v>1709.6000000000001</v>
      </c>
    </row>
    <row r="190" spans="1:8" x14ac:dyDescent="0.2">
      <c r="A190">
        <v>189</v>
      </c>
      <c r="B190">
        <v>12</v>
      </c>
      <c r="C190" s="1">
        <v>46183</v>
      </c>
      <c r="D190">
        <v>6</v>
      </c>
      <c r="E190" t="str">
        <f>_xlfn.XLOOKUP(SalesTable[[#This Row],[product_id]],ProductsTable[product_id],ProductsTable[product_name],"Not Found")</f>
        <v>Wireless Headphones</v>
      </c>
      <c r="F190" t="str">
        <f>_xlfn.XLOOKUP(SalesTable[[#This Row],[product_id]],ProductsTable[product_id],ProductsTable[category],"Not Found")</f>
        <v>Audio</v>
      </c>
      <c r="G190">
        <f>_xlfn.XLOOKUP(VALUE(SalesTable[[#This Row],[product_id]]),ProductsTable[product_id],ProductsTable[unit_price],"Not Found")</f>
        <v>358.79</v>
      </c>
      <c r="H190">
        <f>SalesTable[[#This Row],[quantity]]*SalesTable[[#This Row],[unit_price]]</f>
        <v>2152.7400000000002</v>
      </c>
    </row>
    <row r="191" spans="1:8" x14ac:dyDescent="0.2">
      <c r="A191">
        <v>190</v>
      </c>
      <c r="B191">
        <v>23</v>
      </c>
      <c r="C191" s="1">
        <v>46181</v>
      </c>
      <c r="D191">
        <v>5</v>
      </c>
      <c r="E191" t="str">
        <f>_xlfn.XLOOKUP(SalesTable[[#This Row],[product_id]],ProductsTable[product_id],ProductsTable[product_name],"Not Found")</f>
        <v>Wi-Fi Extender</v>
      </c>
      <c r="F191" t="str">
        <f>_xlfn.XLOOKUP(SalesTable[[#This Row],[product_id]],ProductsTable[product_id],ProductsTable[category],"Not Found")</f>
        <v>Networking</v>
      </c>
      <c r="G191">
        <f>_xlfn.XLOOKUP(VALUE(SalesTable[[#This Row],[product_id]]),ProductsTable[product_id],ProductsTable[unit_price],"Not Found")</f>
        <v>519.54999999999995</v>
      </c>
      <c r="H191">
        <f>SalesTable[[#This Row],[quantity]]*SalesTable[[#This Row],[unit_price]]</f>
        <v>2597.75</v>
      </c>
    </row>
    <row r="192" spans="1:8" x14ac:dyDescent="0.2">
      <c r="A192">
        <v>191</v>
      </c>
      <c r="B192">
        <v>19</v>
      </c>
      <c r="C192" s="1">
        <v>46240</v>
      </c>
      <c r="D192">
        <v>4</v>
      </c>
      <c r="E192" t="str">
        <f>_xlfn.XLOOKUP(SalesTable[[#This Row],[product_id]],ProductsTable[product_id],ProductsTable[product_name],"Not Found")</f>
        <v>Monitor Arm</v>
      </c>
      <c r="F192" t="str">
        <f>_xlfn.XLOOKUP(SalesTable[[#This Row],[product_id]],ProductsTable[product_id],ProductsTable[category],"Not Found")</f>
        <v>Office</v>
      </c>
      <c r="G192">
        <f>_xlfn.XLOOKUP(VALUE(SalesTable[[#This Row],[product_id]]),ProductsTable[product_id],ProductsTable[unit_price],"Not Found")</f>
        <v>250.25</v>
      </c>
      <c r="H192">
        <f>SalesTable[[#This Row],[quantity]]*SalesTable[[#This Row],[unit_price]]</f>
        <v>1001</v>
      </c>
    </row>
    <row r="193" spans="1:8" x14ac:dyDescent="0.2">
      <c r="A193">
        <v>192</v>
      </c>
      <c r="B193">
        <v>8</v>
      </c>
      <c r="C193" s="1">
        <v>46189</v>
      </c>
      <c r="D193">
        <v>2</v>
      </c>
      <c r="E193" t="str">
        <f>_xlfn.XLOOKUP(SalesTable[[#This Row],[product_id]],ProductsTable[product_id],ProductsTable[product_name],"Not Found")</f>
        <v>Desktop Computer</v>
      </c>
      <c r="F193" t="str">
        <f>_xlfn.XLOOKUP(SalesTable[[#This Row],[product_id]],ProductsTable[product_id],ProductsTable[category],"Not Found")</f>
        <v>Computer</v>
      </c>
      <c r="G193">
        <f>_xlfn.XLOOKUP(VALUE(SalesTable[[#This Row],[product_id]]),ProductsTable[product_id],ProductsTable[unit_price],"Not Found")</f>
        <v>1387.44</v>
      </c>
      <c r="H193">
        <f>SalesTable[[#This Row],[quantity]]*SalesTable[[#This Row],[unit_price]]</f>
        <v>2774.88</v>
      </c>
    </row>
    <row r="194" spans="1:8" x14ac:dyDescent="0.2">
      <c r="A194">
        <v>193</v>
      </c>
      <c r="B194">
        <v>25</v>
      </c>
      <c r="C194" s="1">
        <v>46178</v>
      </c>
      <c r="D194">
        <v>5</v>
      </c>
      <c r="E194" t="str">
        <f>_xlfn.XLOOKUP(SalesTable[[#This Row],[product_id]],ProductsTable[product_id],ProductsTable[product_name],"Not Found")</f>
        <v>Mesh Wi-Fi System</v>
      </c>
      <c r="F194" t="str">
        <f>_xlfn.XLOOKUP(SalesTable[[#This Row],[product_id]],ProductsTable[product_id],ProductsTable[category],"Not Found")</f>
        <v>Networking</v>
      </c>
      <c r="G194">
        <f>_xlfn.XLOOKUP(VALUE(SalesTable[[#This Row],[product_id]]),ProductsTable[product_id],ProductsTable[unit_price],"Not Found")</f>
        <v>472.01</v>
      </c>
      <c r="H194">
        <f>SalesTable[[#This Row],[quantity]]*SalesTable[[#This Row],[unit_price]]</f>
        <v>2360.0500000000002</v>
      </c>
    </row>
    <row r="195" spans="1:8" x14ac:dyDescent="0.2">
      <c r="A195">
        <v>194</v>
      </c>
      <c r="B195">
        <v>4</v>
      </c>
      <c r="C195" s="1">
        <v>46237</v>
      </c>
      <c r="D195">
        <v>2</v>
      </c>
      <c r="E195" t="str">
        <f>_xlfn.XLOOKUP(SalesTable[[#This Row],[product_id]],ProductsTable[product_id],ProductsTable[product_name],"Not Found")</f>
        <v>Webcam Cover</v>
      </c>
      <c r="F195" t="str">
        <f>_xlfn.XLOOKUP(SalesTable[[#This Row],[product_id]],ProductsTable[product_id],ProductsTable[category],"Not Found")</f>
        <v>Accessories</v>
      </c>
      <c r="G195">
        <f>_xlfn.XLOOKUP(VALUE(SalesTable[[#This Row],[product_id]]),ProductsTable[product_id],ProductsTable[unit_price],"Not Found")</f>
        <v>71.17</v>
      </c>
      <c r="H195">
        <f>SalesTable[[#This Row],[quantity]]*SalesTable[[#This Row],[unit_price]]</f>
        <v>142.34</v>
      </c>
    </row>
    <row r="196" spans="1:8" x14ac:dyDescent="0.2">
      <c r="A196">
        <v>195</v>
      </c>
      <c r="B196">
        <v>23</v>
      </c>
      <c r="C196" s="1">
        <v>46163</v>
      </c>
      <c r="D196">
        <v>2</v>
      </c>
      <c r="E196" t="str">
        <f>_xlfn.XLOOKUP(SalesTable[[#This Row],[product_id]],ProductsTable[product_id],ProductsTable[product_name],"Not Found")</f>
        <v>Wi-Fi Extender</v>
      </c>
      <c r="F196" t="str">
        <f>_xlfn.XLOOKUP(SalesTable[[#This Row],[product_id]],ProductsTable[product_id],ProductsTable[category],"Not Found")</f>
        <v>Networking</v>
      </c>
      <c r="G196">
        <f>_xlfn.XLOOKUP(VALUE(SalesTable[[#This Row],[product_id]]),ProductsTable[product_id],ProductsTable[unit_price],"Not Found")</f>
        <v>519.54999999999995</v>
      </c>
      <c r="H196">
        <f>SalesTable[[#This Row],[quantity]]*SalesTable[[#This Row],[unit_price]]</f>
        <v>1039.0999999999999</v>
      </c>
    </row>
    <row r="197" spans="1:8" x14ac:dyDescent="0.2">
      <c r="A197">
        <v>196</v>
      </c>
      <c r="B197">
        <v>18</v>
      </c>
      <c r="C197" s="1">
        <v>46171</v>
      </c>
      <c r="D197">
        <v>2</v>
      </c>
      <c r="E197" t="str">
        <f>_xlfn.XLOOKUP(SalesTable[[#This Row],[product_id]],ProductsTable[product_id],ProductsTable[product_name],"Not Found")</f>
        <v>Standing Desk</v>
      </c>
      <c r="F197" t="str">
        <f>_xlfn.XLOOKUP(SalesTable[[#This Row],[product_id]],ProductsTable[product_id],ProductsTable[category],"Not Found")</f>
        <v>Office</v>
      </c>
      <c r="G197">
        <f>_xlfn.XLOOKUP(VALUE(SalesTable[[#This Row],[product_id]]),ProductsTable[product_id],ProductsTable[unit_price],"Not Found")</f>
        <v>191.24</v>
      </c>
      <c r="H197">
        <f>SalesTable[[#This Row],[quantity]]*SalesTable[[#This Row],[unit_price]]</f>
        <v>382.48</v>
      </c>
    </row>
    <row r="198" spans="1:8" x14ac:dyDescent="0.2">
      <c r="A198">
        <v>197</v>
      </c>
      <c r="B198">
        <v>1</v>
      </c>
      <c r="C198" s="1">
        <v>46206</v>
      </c>
      <c r="D198">
        <v>10</v>
      </c>
      <c r="E198" t="str">
        <f>_xlfn.XLOOKUP(SalesTable[[#This Row],[product_id]],ProductsTable[product_id],ProductsTable[product_name],"Not Found")</f>
        <v>Wireless Mouse</v>
      </c>
      <c r="F198" t="str">
        <f>_xlfn.XLOOKUP(SalesTable[[#This Row],[product_id]],ProductsTable[product_id],ProductsTable[category],"Not Found")</f>
        <v>Accessories</v>
      </c>
      <c r="G198">
        <f>_xlfn.XLOOKUP(VALUE(SalesTable[[#This Row],[product_id]]),ProductsTable[product_id],ProductsTable[unit_price],"Not Found")</f>
        <v>62.84</v>
      </c>
      <c r="H198">
        <f>SalesTable[[#This Row],[quantity]]*SalesTable[[#This Row],[unit_price]]</f>
        <v>628.40000000000009</v>
      </c>
    </row>
    <row r="199" spans="1:8" x14ac:dyDescent="0.2">
      <c r="A199">
        <v>198</v>
      </c>
      <c r="B199">
        <v>23</v>
      </c>
      <c r="C199" s="1">
        <v>46186</v>
      </c>
      <c r="D199">
        <v>6</v>
      </c>
      <c r="E199" t="str">
        <f>_xlfn.XLOOKUP(SalesTable[[#This Row],[product_id]],ProductsTable[product_id],ProductsTable[product_name],"Not Found")</f>
        <v>Wi-Fi Extender</v>
      </c>
      <c r="F199" t="str">
        <f>_xlfn.XLOOKUP(SalesTable[[#This Row],[product_id]],ProductsTable[product_id],ProductsTable[category],"Not Found")</f>
        <v>Networking</v>
      </c>
      <c r="G199">
        <f>_xlfn.XLOOKUP(VALUE(SalesTable[[#This Row],[product_id]]),ProductsTable[product_id],ProductsTable[unit_price],"Not Found")</f>
        <v>519.54999999999995</v>
      </c>
      <c r="H199">
        <f>SalesTable[[#This Row],[quantity]]*SalesTable[[#This Row],[unit_price]]</f>
        <v>3117.2999999999997</v>
      </c>
    </row>
    <row r="200" spans="1:8" x14ac:dyDescent="0.2">
      <c r="A200">
        <v>199</v>
      </c>
      <c r="B200">
        <v>20</v>
      </c>
      <c r="C200" s="1">
        <v>46185</v>
      </c>
      <c r="D200">
        <v>1</v>
      </c>
      <c r="E200" t="str">
        <f>_xlfn.XLOOKUP(SalesTable[[#This Row],[product_id]],ProductsTable[product_id],ProductsTable[product_name],"Not Found")</f>
        <v>Keyboard Tray</v>
      </c>
      <c r="F200" t="str">
        <f>_xlfn.XLOOKUP(SalesTable[[#This Row],[product_id]],ProductsTable[product_id],ProductsTable[category],"Not Found")</f>
        <v>Office</v>
      </c>
      <c r="G200">
        <f>_xlfn.XLOOKUP(VALUE(SalesTable[[#This Row],[product_id]]),ProductsTable[product_id],ProductsTable[unit_price],"Not Found")</f>
        <v>62.2</v>
      </c>
      <c r="H200">
        <f>SalesTable[[#This Row],[quantity]]*SalesTable[[#This Row],[unit_price]]</f>
        <v>62.2</v>
      </c>
    </row>
    <row r="201" spans="1:8" x14ac:dyDescent="0.2">
      <c r="A201">
        <v>200</v>
      </c>
      <c r="B201">
        <v>19</v>
      </c>
      <c r="C201" s="1">
        <v>46219</v>
      </c>
      <c r="D201">
        <v>5</v>
      </c>
      <c r="E201" t="str">
        <f>_xlfn.XLOOKUP(SalesTable[[#This Row],[product_id]],ProductsTable[product_id],ProductsTable[product_name],"Not Found")</f>
        <v>Monitor Arm</v>
      </c>
      <c r="F201" t="str">
        <f>_xlfn.XLOOKUP(SalesTable[[#This Row],[product_id]],ProductsTable[product_id],ProductsTable[category],"Not Found")</f>
        <v>Office</v>
      </c>
      <c r="G201">
        <f>_xlfn.XLOOKUP(VALUE(SalesTable[[#This Row],[product_id]]),ProductsTable[product_id],ProductsTable[unit_price],"Not Found")</f>
        <v>250.25</v>
      </c>
      <c r="H201">
        <f>SalesTable[[#This Row],[quantity]]*SalesTable[[#This Row],[unit_price]]</f>
        <v>1251.25</v>
      </c>
    </row>
  </sheetData>
  <pageMargins left="0.7" right="0.7" top="0.75" bottom="0.75" header="0.3" footer="0.3"/>
  <pageSetup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A263-2EC1-054F-9D16-0157010EBDE5}">
  <dimension ref="A1:E26"/>
  <sheetViews>
    <sheetView workbookViewId="0">
      <selection activeCell="D2" sqref="D2"/>
    </sheetView>
  </sheetViews>
  <sheetFormatPr baseColWidth="10" defaultRowHeight="16" x14ac:dyDescent="0.2"/>
  <cols>
    <col min="1" max="1" width="12.1640625" customWidth="1"/>
    <col min="2" max="2" width="19" bestFit="1" customWidth="1"/>
    <col min="3" max="3" width="10.6640625" bestFit="1" customWidth="1"/>
    <col min="4" max="4" width="12.5" customWidth="1"/>
    <col min="5" max="5" width="11.6640625" customWidth="1"/>
  </cols>
  <sheetData>
    <row r="1" spans="1:5" x14ac:dyDescent="0.2">
      <c r="A1" t="s">
        <v>1</v>
      </c>
      <c r="B1" t="s">
        <v>4</v>
      </c>
      <c r="C1" t="s">
        <v>5</v>
      </c>
      <c r="D1" t="s">
        <v>6</v>
      </c>
      <c r="E1" t="s">
        <v>7</v>
      </c>
    </row>
    <row r="2" spans="1:5" x14ac:dyDescent="0.2">
      <c r="A2">
        <v>1</v>
      </c>
      <c r="B2" t="s">
        <v>8</v>
      </c>
      <c r="C2" t="s">
        <v>9</v>
      </c>
      <c r="D2">
        <v>1</v>
      </c>
      <c r="E2">
        <v>62.84</v>
      </c>
    </row>
    <row r="3" spans="1:5" x14ac:dyDescent="0.2">
      <c r="A3">
        <v>2</v>
      </c>
      <c r="B3" t="s">
        <v>10</v>
      </c>
      <c r="C3" t="s">
        <v>9</v>
      </c>
      <c r="D3">
        <v>2</v>
      </c>
      <c r="E3">
        <v>17.239999999999998</v>
      </c>
    </row>
    <row r="4" spans="1:5" x14ac:dyDescent="0.2">
      <c r="A4">
        <v>3</v>
      </c>
      <c r="B4" t="s">
        <v>11</v>
      </c>
      <c r="C4" t="s">
        <v>9</v>
      </c>
      <c r="D4">
        <v>3</v>
      </c>
      <c r="E4">
        <v>38.270000000000003</v>
      </c>
    </row>
    <row r="5" spans="1:5" x14ac:dyDescent="0.2">
      <c r="A5">
        <v>4</v>
      </c>
      <c r="B5" t="s">
        <v>12</v>
      </c>
      <c r="C5" t="s">
        <v>9</v>
      </c>
      <c r="D5">
        <v>4</v>
      </c>
      <c r="E5">
        <v>71.17</v>
      </c>
    </row>
    <row r="6" spans="1:5" x14ac:dyDescent="0.2">
      <c r="A6">
        <v>5</v>
      </c>
      <c r="B6" t="s">
        <v>13</v>
      </c>
      <c r="C6" t="s">
        <v>9</v>
      </c>
      <c r="D6">
        <v>5</v>
      </c>
      <c r="E6">
        <v>31.46</v>
      </c>
    </row>
    <row r="7" spans="1:5" x14ac:dyDescent="0.2">
      <c r="A7">
        <v>6</v>
      </c>
      <c r="B7" t="s">
        <v>14</v>
      </c>
      <c r="C7" t="s">
        <v>15</v>
      </c>
      <c r="D7">
        <v>6</v>
      </c>
      <c r="E7">
        <v>146.37</v>
      </c>
    </row>
    <row r="8" spans="1:5" x14ac:dyDescent="0.2">
      <c r="A8">
        <v>7</v>
      </c>
      <c r="B8" t="s">
        <v>16</v>
      </c>
      <c r="C8" t="s">
        <v>15</v>
      </c>
      <c r="D8">
        <v>7</v>
      </c>
      <c r="E8">
        <v>1107.2</v>
      </c>
    </row>
    <row r="9" spans="1:5" x14ac:dyDescent="0.2">
      <c r="A9">
        <v>8</v>
      </c>
      <c r="B9" t="s">
        <v>17</v>
      </c>
      <c r="C9" t="s">
        <v>15</v>
      </c>
      <c r="D9">
        <v>8</v>
      </c>
      <c r="E9">
        <v>1387.44</v>
      </c>
    </row>
    <row r="10" spans="1:5" x14ac:dyDescent="0.2">
      <c r="A10">
        <v>9</v>
      </c>
      <c r="B10" t="s">
        <v>18</v>
      </c>
      <c r="C10" t="s">
        <v>15</v>
      </c>
      <c r="D10">
        <v>9</v>
      </c>
      <c r="E10">
        <v>844.86</v>
      </c>
    </row>
    <row r="11" spans="1:5" x14ac:dyDescent="0.2">
      <c r="A11">
        <v>10</v>
      </c>
      <c r="B11" t="s">
        <v>19</v>
      </c>
      <c r="C11" t="s">
        <v>15</v>
      </c>
      <c r="D11">
        <v>10</v>
      </c>
      <c r="E11">
        <v>718.81</v>
      </c>
    </row>
    <row r="12" spans="1:5" x14ac:dyDescent="0.2">
      <c r="A12">
        <v>11</v>
      </c>
      <c r="B12" t="s">
        <v>20</v>
      </c>
      <c r="C12" t="s">
        <v>21</v>
      </c>
      <c r="D12">
        <v>10</v>
      </c>
      <c r="E12">
        <v>233.04</v>
      </c>
    </row>
    <row r="13" spans="1:5" x14ac:dyDescent="0.2">
      <c r="A13">
        <v>12</v>
      </c>
      <c r="B13" t="s">
        <v>22</v>
      </c>
      <c r="C13" t="s">
        <v>21</v>
      </c>
      <c r="D13">
        <v>1</v>
      </c>
      <c r="E13">
        <v>358.79</v>
      </c>
    </row>
    <row r="14" spans="1:5" x14ac:dyDescent="0.2">
      <c r="A14">
        <v>13</v>
      </c>
      <c r="B14" t="s">
        <v>23</v>
      </c>
      <c r="C14" t="s">
        <v>21</v>
      </c>
      <c r="D14">
        <v>4</v>
      </c>
      <c r="E14">
        <v>487.7</v>
      </c>
    </row>
    <row r="15" spans="1:5" x14ac:dyDescent="0.2">
      <c r="A15">
        <v>14</v>
      </c>
      <c r="B15" t="s">
        <v>24</v>
      </c>
      <c r="C15" t="s">
        <v>21</v>
      </c>
      <c r="D15">
        <v>10</v>
      </c>
      <c r="E15">
        <v>176.19</v>
      </c>
    </row>
    <row r="16" spans="1:5" x14ac:dyDescent="0.2">
      <c r="A16">
        <v>15</v>
      </c>
      <c r="B16" t="s">
        <v>25</v>
      </c>
      <c r="C16" t="s">
        <v>21</v>
      </c>
      <c r="D16">
        <v>9</v>
      </c>
      <c r="E16">
        <v>250.32</v>
      </c>
    </row>
    <row r="17" spans="1:5" x14ac:dyDescent="0.2">
      <c r="A17">
        <v>16</v>
      </c>
      <c r="B17" t="s">
        <v>26</v>
      </c>
      <c r="C17" t="s">
        <v>27</v>
      </c>
      <c r="D17">
        <v>1</v>
      </c>
      <c r="E17">
        <v>282.3</v>
      </c>
    </row>
    <row r="18" spans="1:5" x14ac:dyDescent="0.2">
      <c r="A18">
        <v>17</v>
      </c>
      <c r="B18" t="s">
        <v>28</v>
      </c>
      <c r="C18" t="s">
        <v>27</v>
      </c>
      <c r="D18">
        <v>9</v>
      </c>
      <c r="E18">
        <v>25.28</v>
      </c>
    </row>
    <row r="19" spans="1:5" x14ac:dyDescent="0.2">
      <c r="A19">
        <v>18</v>
      </c>
      <c r="B19" t="s">
        <v>29</v>
      </c>
      <c r="C19" t="s">
        <v>27</v>
      </c>
      <c r="D19">
        <v>4</v>
      </c>
      <c r="E19">
        <v>191.24</v>
      </c>
    </row>
    <row r="20" spans="1:5" x14ac:dyDescent="0.2">
      <c r="A20">
        <v>19</v>
      </c>
      <c r="B20" t="s">
        <v>30</v>
      </c>
      <c r="C20" t="s">
        <v>27</v>
      </c>
      <c r="D20">
        <v>2</v>
      </c>
      <c r="E20">
        <v>250.25</v>
      </c>
    </row>
    <row r="21" spans="1:5" x14ac:dyDescent="0.2">
      <c r="A21">
        <v>20</v>
      </c>
      <c r="B21" t="s">
        <v>31</v>
      </c>
      <c r="C21" t="s">
        <v>27</v>
      </c>
      <c r="D21">
        <v>9</v>
      </c>
      <c r="E21">
        <v>62.2</v>
      </c>
    </row>
    <row r="22" spans="1:5" x14ac:dyDescent="0.2">
      <c r="A22">
        <v>21</v>
      </c>
      <c r="B22" t="s">
        <v>32</v>
      </c>
      <c r="C22" t="s">
        <v>33</v>
      </c>
      <c r="D22">
        <v>9</v>
      </c>
      <c r="E22">
        <v>147.08000000000001</v>
      </c>
    </row>
    <row r="23" spans="1:5" x14ac:dyDescent="0.2">
      <c r="A23">
        <v>22</v>
      </c>
      <c r="B23" t="s">
        <v>34</v>
      </c>
      <c r="C23" t="s">
        <v>33</v>
      </c>
      <c r="D23">
        <v>6</v>
      </c>
      <c r="E23">
        <v>341.92</v>
      </c>
    </row>
    <row r="24" spans="1:5" x14ac:dyDescent="0.2">
      <c r="A24">
        <v>23</v>
      </c>
      <c r="B24" t="s">
        <v>35</v>
      </c>
      <c r="C24" t="s">
        <v>33</v>
      </c>
      <c r="D24">
        <v>10</v>
      </c>
      <c r="E24">
        <v>519.54999999999995</v>
      </c>
    </row>
    <row r="25" spans="1:5" x14ac:dyDescent="0.2">
      <c r="A25">
        <v>24</v>
      </c>
      <c r="B25" t="s">
        <v>36</v>
      </c>
      <c r="C25" t="s">
        <v>33</v>
      </c>
      <c r="D25">
        <v>7</v>
      </c>
      <c r="E25">
        <v>486.94</v>
      </c>
    </row>
    <row r="26" spans="1:5" x14ac:dyDescent="0.2">
      <c r="A26">
        <v>25</v>
      </c>
      <c r="B26" t="s">
        <v>37</v>
      </c>
      <c r="C26" t="s">
        <v>33</v>
      </c>
      <c r="D26">
        <v>7</v>
      </c>
      <c r="E26">
        <v>472.01</v>
      </c>
    </row>
  </sheetData>
  <pageMargins left="0.7" right="0.7" top="0.75" bottom="0.75" header="0.3" footer="0.3"/>
  <pageSetup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CE7D-2542-B544-8589-184C81D0E8B7}">
  <dimension ref="A1:E56"/>
  <sheetViews>
    <sheetView workbookViewId="0">
      <selection activeCell="C2" sqref="C2"/>
    </sheetView>
  </sheetViews>
  <sheetFormatPr baseColWidth="10" defaultRowHeight="16" x14ac:dyDescent="0.2"/>
  <cols>
    <col min="1" max="1" width="13.83203125" customWidth="1"/>
    <col min="2" max="2" width="12.1640625" customWidth="1"/>
    <col min="3" max="3" width="15.5" bestFit="1" customWidth="1"/>
    <col min="4" max="4" width="12.5" customWidth="1"/>
    <col min="5" max="5" width="15.6640625" customWidth="1"/>
  </cols>
  <sheetData>
    <row r="1" spans="1:5" x14ac:dyDescent="0.2">
      <c r="A1" t="s">
        <v>47</v>
      </c>
      <c r="B1" t="s">
        <v>1</v>
      </c>
      <c r="C1" t="s">
        <v>4</v>
      </c>
      <c r="D1" t="s">
        <v>48</v>
      </c>
      <c r="E1" t="s">
        <v>49</v>
      </c>
    </row>
    <row r="2" spans="1:5" x14ac:dyDescent="0.2">
      <c r="A2">
        <v>1</v>
      </c>
      <c r="B2">
        <v>1</v>
      </c>
      <c r="C2" t="str">
        <f>_xlfn.XLOOKUP(VALUE(InventoryTable[[#This Row],[product_id]]),ProductsTable[product_id],ProductsTable[product_name],"Not Found")</f>
        <v>Wireless Mouse</v>
      </c>
      <c r="D2" t="s">
        <v>50</v>
      </c>
      <c r="E2">
        <v>133</v>
      </c>
    </row>
    <row r="3" spans="1:5" x14ac:dyDescent="0.2">
      <c r="A3">
        <v>2</v>
      </c>
      <c r="B3">
        <v>1</v>
      </c>
      <c r="C3" t="str">
        <f>_xlfn.XLOOKUP(VALUE(InventoryTable[[#This Row],[product_id]]),ProductsTable[product_id],ProductsTable[product_name],"Not Found")</f>
        <v>Wireless Mouse</v>
      </c>
      <c r="D3" t="s">
        <v>51</v>
      </c>
      <c r="E3">
        <v>136</v>
      </c>
    </row>
    <row r="4" spans="1:5" x14ac:dyDescent="0.2">
      <c r="A4">
        <v>3</v>
      </c>
      <c r="B4">
        <v>2</v>
      </c>
      <c r="C4" t="str">
        <f>_xlfn.XLOOKUP(VALUE(InventoryTable[[#This Row],[product_id]]),ProductsTable[product_id],ProductsTable[product_name],"Not Found")</f>
        <v>USB-C Cable</v>
      </c>
      <c r="D4" t="s">
        <v>52</v>
      </c>
      <c r="E4">
        <v>261</v>
      </c>
    </row>
    <row r="5" spans="1:5" x14ac:dyDescent="0.2">
      <c r="A5">
        <v>4</v>
      </c>
      <c r="B5">
        <v>2</v>
      </c>
      <c r="C5" t="str">
        <f>_xlfn.XLOOKUP(VALUE(InventoryTable[[#This Row],[product_id]]),ProductsTable[product_id],ProductsTable[product_name],"Not Found")</f>
        <v>USB-C Cable</v>
      </c>
      <c r="D5" t="s">
        <v>51</v>
      </c>
      <c r="E5">
        <v>240</v>
      </c>
    </row>
    <row r="6" spans="1:5" x14ac:dyDescent="0.2">
      <c r="A6">
        <v>5</v>
      </c>
      <c r="B6">
        <v>2</v>
      </c>
      <c r="C6" t="str">
        <f>_xlfn.XLOOKUP(VALUE(InventoryTable[[#This Row],[product_id]]),ProductsTable[product_id],ProductsTable[product_name],"Not Found")</f>
        <v>USB-C Cable</v>
      </c>
      <c r="D6" t="s">
        <v>50</v>
      </c>
      <c r="E6">
        <v>154</v>
      </c>
    </row>
    <row r="7" spans="1:5" x14ac:dyDescent="0.2">
      <c r="A7">
        <v>6</v>
      </c>
      <c r="B7">
        <v>3</v>
      </c>
      <c r="C7" t="str">
        <f>_xlfn.XLOOKUP(VALUE(InventoryTable[[#This Row],[product_id]]),ProductsTable[product_id],ProductsTable[product_name],"Not Found")</f>
        <v>Laptop Stand</v>
      </c>
      <c r="D7" t="s">
        <v>52</v>
      </c>
      <c r="E7">
        <v>247</v>
      </c>
    </row>
    <row r="8" spans="1:5" x14ac:dyDescent="0.2">
      <c r="A8">
        <v>7</v>
      </c>
      <c r="B8">
        <v>4</v>
      </c>
      <c r="C8" t="str">
        <f>_xlfn.XLOOKUP(VALUE(InventoryTable[[#This Row],[product_id]]),ProductsTable[product_id],ProductsTable[product_name],"Not Found")</f>
        <v>Webcam Cover</v>
      </c>
      <c r="D8" t="s">
        <v>52</v>
      </c>
      <c r="E8">
        <v>221</v>
      </c>
    </row>
    <row r="9" spans="1:5" x14ac:dyDescent="0.2">
      <c r="A9">
        <v>8</v>
      </c>
      <c r="B9">
        <v>4</v>
      </c>
      <c r="C9" t="str">
        <f>_xlfn.XLOOKUP(VALUE(InventoryTable[[#This Row],[product_id]]),ProductsTable[product_id],ProductsTable[product_name],"Not Found")</f>
        <v>Webcam Cover</v>
      </c>
      <c r="D9" t="s">
        <v>51</v>
      </c>
      <c r="E9">
        <v>193</v>
      </c>
    </row>
    <row r="10" spans="1:5" x14ac:dyDescent="0.2">
      <c r="A10">
        <v>9</v>
      </c>
      <c r="B10">
        <v>4</v>
      </c>
      <c r="C10" t="str">
        <f>_xlfn.XLOOKUP(VALUE(InventoryTable[[#This Row],[product_id]]),ProductsTable[product_id],ProductsTable[product_name],"Not Found")</f>
        <v>Webcam Cover</v>
      </c>
      <c r="D10" t="s">
        <v>50</v>
      </c>
      <c r="E10">
        <v>200</v>
      </c>
    </row>
    <row r="11" spans="1:5" x14ac:dyDescent="0.2">
      <c r="A11">
        <v>10</v>
      </c>
      <c r="B11">
        <v>5</v>
      </c>
      <c r="C11" t="str">
        <f>_xlfn.XLOOKUP(VALUE(InventoryTable[[#This Row],[product_id]]),ProductsTable[product_id],ProductsTable[product_name],"Not Found")</f>
        <v>Mouse Pad</v>
      </c>
      <c r="D11" t="s">
        <v>52</v>
      </c>
      <c r="E11">
        <v>248</v>
      </c>
    </row>
    <row r="12" spans="1:5" x14ac:dyDescent="0.2">
      <c r="A12">
        <v>11</v>
      </c>
      <c r="B12">
        <v>5</v>
      </c>
      <c r="C12" t="str">
        <f>_xlfn.XLOOKUP(VALUE(InventoryTable[[#This Row],[product_id]]),ProductsTable[product_id],ProductsTable[product_name],"Not Found")</f>
        <v>Mouse Pad</v>
      </c>
      <c r="D12" t="s">
        <v>51</v>
      </c>
      <c r="E12">
        <v>167</v>
      </c>
    </row>
    <row r="13" spans="1:5" x14ac:dyDescent="0.2">
      <c r="A13">
        <v>12</v>
      </c>
      <c r="B13">
        <v>6</v>
      </c>
      <c r="C13" t="str">
        <f>_xlfn.XLOOKUP(VALUE(InventoryTable[[#This Row],[product_id]]),ProductsTable[product_id],ProductsTable[product_name],"Not Found")</f>
        <v>Business Laptop</v>
      </c>
      <c r="D13" t="s">
        <v>52</v>
      </c>
      <c r="E13">
        <v>46</v>
      </c>
    </row>
    <row r="14" spans="1:5" x14ac:dyDescent="0.2">
      <c r="A14">
        <v>13</v>
      </c>
      <c r="B14">
        <v>6</v>
      </c>
      <c r="C14" t="str">
        <f>_xlfn.XLOOKUP(VALUE(InventoryTable[[#This Row],[product_id]]),ProductsTable[product_id],ProductsTable[product_name],"Not Found")</f>
        <v>Business Laptop</v>
      </c>
      <c r="D14" t="s">
        <v>50</v>
      </c>
      <c r="E14">
        <v>23</v>
      </c>
    </row>
    <row r="15" spans="1:5" x14ac:dyDescent="0.2">
      <c r="A15">
        <v>14</v>
      </c>
      <c r="B15">
        <v>7</v>
      </c>
      <c r="C15" t="str">
        <f>_xlfn.XLOOKUP(VALUE(InventoryTable[[#This Row],[product_id]]),ProductsTable[product_id],ProductsTable[product_name],"Not Found")</f>
        <v>Gaming Laptop</v>
      </c>
      <c r="D15" t="s">
        <v>52</v>
      </c>
      <c r="E15">
        <v>18</v>
      </c>
    </row>
    <row r="16" spans="1:5" x14ac:dyDescent="0.2">
      <c r="A16">
        <v>15</v>
      </c>
      <c r="B16">
        <v>7</v>
      </c>
      <c r="C16" t="str">
        <f>_xlfn.XLOOKUP(VALUE(InventoryTable[[#This Row],[product_id]]),ProductsTable[product_id],ProductsTable[product_name],"Not Found")</f>
        <v>Gaming Laptop</v>
      </c>
      <c r="D16" t="s">
        <v>50</v>
      </c>
      <c r="E16">
        <v>17</v>
      </c>
    </row>
    <row r="17" spans="1:5" x14ac:dyDescent="0.2">
      <c r="A17">
        <v>16</v>
      </c>
      <c r="B17">
        <v>7</v>
      </c>
      <c r="C17" t="str">
        <f>_xlfn.XLOOKUP(VALUE(InventoryTable[[#This Row],[product_id]]),ProductsTable[product_id],ProductsTable[product_name],"Not Found")</f>
        <v>Gaming Laptop</v>
      </c>
      <c r="D17" t="s">
        <v>51</v>
      </c>
      <c r="E17">
        <v>10</v>
      </c>
    </row>
    <row r="18" spans="1:5" x14ac:dyDescent="0.2">
      <c r="A18">
        <v>17</v>
      </c>
      <c r="B18">
        <v>8</v>
      </c>
      <c r="C18" t="str">
        <f>_xlfn.XLOOKUP(VALUE(InventoryTable[[#This Row],[product_id]]),ProductsTable[product_id],ProductsTable[product_name],"Not Found")</f>
        <v>Desktop Computer</v>
      </c>
      <c r="D18" t="s">
        <v>52</v>
      </c>
      <c r="E18">
        <v>30</v>
      </c>
    </row>
    <row r="19" spans="1:5" x14ac:dyDescent="0.2">
      <c r="A19">
        <v>18</v>
      </c>
      <c r="B19">
        <v>9</v>
      </c>
      <c r="C19" t="str">
        <f>_xlfn.XLOOKUP(VALUE(InventoryTable[[#This Row],[product_id]]),ProductsTable[product_id],ProductsTable[product_name],"Not Found")</f>
        <v>Mini PC</v>
      </c>
      <c r="D19" t="s">
        <v>51</v>
      </c>
      <c r="E19">
        <v>35</v>
      </c>
    </row>
    <row r="20" spans="1:5" x14ac:dyDescent="0.2">
      <c r="A20">
        <v>19</v>
      </c>
      <c r="B20">
        <v>9</v>
      </c>
      <c r="C20" t="str">
        <f>_xlfn.XLOOKUP(VALUE(InventoryTable[[#This Row],[product_id]]),ProductsTable[product_id],ProductsTable[product_name],"Not Found")</f>
        <v>Mini PC</v>
      </c>
      <c r="D20" t="s">
        <v>52</v>
      </c>
      <c r="E20">
        <v>32</v>
      </c>
    </row>
    <row r="21" spans="1:5" x14ac:dyDescent="0.2">
      <c r="A21">
        <v>20</v>
      </c>
      <c r="B21">
        <v>10</v>
      </c>
      <c r="C21" t="str">
        <f>_xlfn.XLOOKUP(VALUE(InventoryTable[[#This Row],[product_id]]),ProductsTable[product_id],ProductsTable[product_name],"Not Found")</f>
        <v>Workstation</v>
      </c>
      <c r="D21" t="s">
        <v>50</v>
      </c>
      <c r="E21">
        <v>42</v>
      </c>
    </row>
    <row r="22" spans="1:5" x14ac:dyDescent="0.2">
      <c r="A22">
        <v>21</v>
      </c>
      <c r="B22">
        <v>10</v>
      </c>
      <c r="C22" t="str">
        <f>_xlfn.XLOOKUP(VALUE(InventoryTable[[#This Row],[product_id]]),ProductsTable[product_id],ProductsTable[product_name],"Not Found")</f>
        <v>Workstation</v>
      </c>
      <c r="D22" t="s">
        <v>52</v>
      </c>
      <c r="E22">
        <v>12</v>
      </c>
    </row>
    <row r="23" spans="1:5" x14ac:dyDescent="0.2">
      <c r="A23">
        <v>22</v>
      </c>
      <c r="B23">
        <v>10</v>
      </c>
      <c r="C23" t="str">
        <f>_xlfn.XLOOKUP(VALUE(InventoryTable[[#This Row],[product_id]]),ProductsTable[product_id],ProductsTable[product_name],"Not Found")</f>
        <v>Workstation</v>
      </c>
      <c r="D23" t="s">
        <v>51</v>
      </c>
      <c r="E23">
        <v>20</v>
      </c>
    </row>
    <row r="24" spans="1:5" x14ac:dyDescent="0.2">
      <c r="A24">
        <v>23</v>
      </c>
      <c r="B24">
        <v>11</v>
      </c>
      <c r="C24" t="str">
        <f>_xlfn.XLOOKUP(VALUE(InventoryTable[[#This Row],[product_id]]),ProductsTable[product_id],ProductsTable[product_name],"Not Found")</f>
        <v>Bluetooth Speaker</v>
      </c>
      <c r="D24" t="s">
        <v>50</v>
      </c>
      <c r="E24">
        <v>71</v>
      </c>
    </row>
    <row r="25" spans="1:5" x14ac:dyDescent="0.2">
      <c r="A25">
        <v>24</v>
      </c>
      <c r="B25">
        <v>11</v>
      </c>
      <c r="C25" t="str">
        <f>_xlfn.XLOOKUP(VALUE(InventoryTable[[#This Row],[product_id]]),ProductsTable[product_id],ProductsTable[product_name],"Not Found")</f>
        <v>Bluetooth Speaker</v>
      </c>
      <c r="D25" t="s">
        <v>51</v>
      </c>
      <c r="E25">
        <v>135</v>
      </c>
    </row>
    <row r="26" spans="1:5" x14ac:dyDescent="0.2">
      <c r="A26">
        <v>25</v>
      </c>
      <c r="B26">
        <v>11</v>
      </c>
      <c r="C26" t="str">
        <f>_xlfn.XLOOKUP(VALUE(InventoryTable[[#This Row],[product_id]]),ProductsTable[product_id],ProductsTable[product_name],"Not Found")</f>
        <v>Bluetooth Speaker</v>
      </c>
      <c r="D26" t="s">
        <v>52</v>
      </c>
      <c r="E26">
        <v>142</v>
      </c>
    </row>
    <row r="27" spans="1:5" x14ac:dyDescent="0.2">
      <c r="A27">
        <v>26</v>
      </c>
      <c r="B27">
        <v>12</v>
      </c>
      <c r="C27" t="str">
        <f>_xlfn.XLOOKUP(VALUE(InventoryTable[[#This Row],[product_id]]),ProductsTable[product_id],ProductsTable[product_name],"Not Found")</f>
        <v>Wireless Headphones</v>
      </c>
      <c r="D27" t="s">
        <v>50</v>
      </c>
      <c r="E27">
        <v>148</v>
      </c>
    </row>
    <row r="28" spans="1:5" x14ac:dyDescent="0.2">
      <c r="A28">
        <v>27</v>
      </c>
      <c r="B28">
        <v>12</v>
      </c>
      <c r="C28" t="str">
        <f>_xlfn.XLOOKUP(VALUE(InventoryTable[[#This Row],[product_id]]),ProductsTable[product_id],ProductsTable[product_name],"Not Found")</f>
        <v>Wireless Headphones</v>
      </c>
      <c r="D28" t="s">
        <v>51</v>
      </c>
      <c r="E28">
        <v>134</v>
      </c>
    </row>
    <row r="29" spans="1:5" x14ac:dyDescent="0.2">
      <c r="A29">
        <v>28</v>
      </c>
      <c r="B29">
        <v>13</v>
      </c>
      <c r="C29" t="str">
        <f>_xlfn.XLOOKUP(VALUE(InventoryTable[[#This Row],[product_id]]),ProductsTable[product_id],ProductsTable[product_name],"Not Found")</f>
        <v>Soundbar</v>
      </c>
      <c r="D29" t="s">
        <v>52</v>
      </c>
      <c r="E29">
        <v>146</v>
      </c>
    </row>
    <row r="30" spans="1:5" x14ac:dyDescent="0.2">
      <c r="A30">
        <v>29</v>
      </c>
      <c r="B30">
        <v>13</v>
      </c>
      <c r="C30" t="str">
        <f>_xlfn.XLOOKUP(VALUE(InventoryTable[[#This Row],[product_id]]),ProductsTable[product_id],ProductsTable[product_name],"Not Found")</f>
        <v>Soundbar</v>
      </c>
      <c r="D30" t="s">
        <v>50</v>
      </c>
      <c r="E30">
        <v>143</v>
      </c>
    </row>
    <row r="31" spans="1:5" x14ac:dyDescent="0.2">
      <c r="A31">
        <v>30</v>
      </c>
      <c r="B31">
        <v>13</v>
      </c>
      <c r="C31" t="str">
        <f>_xlfn.XLOOKUP(VALUE(InventoryTable[[#This Row],[product_id]]),ProductsTable[product_id],ProductsTable[product_name],"Not Found")</f>
        <v>Soundbar</v>
      </c>
      <c r="D31" t="s">
        <v>51</v>
      </c>
      <c r="E31">
        <v>83</v>
      </c>
    </row>
    <row r="32" spans="1:5" x14ac:dyDescent="0.2">
      <c r="A32">
        <v>31</v>
      </c>
      <c r="B32">
        <v>14</v>
      </c>
      <c r="C32" t="str">
        <f>_xlfn.XLOOKUP(VALUE(InventoryTable[[#This Row],[product_id]]),ProductsTable[product_id],ProductsTable[product_name],"Not Found")</f>
        <v>USB Microphone</v>
      </c>
      <c r="D32" t="s">
        <v>52</v>
      </c>
      <c r="E32">
        <v>94</v>
      </c>
    </row>
    <row r="33" spans="1:5" x14ac:dyDescent="0.2">
      <c r="A33">
        <v>32</v>
      </c>
      <c r="B33">
        <v>14</v>
      </c>
      <c r="C33" t="str">
        <f>_xlfn.XLOOKUP(VALUE(InventoryTable[[#This Row],[product_id]]),ProductsTable[product_id],ProductsTable[product_name],"Not Found")</f>
        <v>USB Microphone</v>
      </c>
      <c r="D33" t="s">
        <v>50</v>
      </c>
      <c r="E33">
        <v>98</v>
      </c>
    </row>
    <row r="34" spans="1:5" x14ac:dyDescent="0.2">
      <c r="A34">
        <v>33</v>
      </c>
      <c r="B34">
        <v>15</v>
      </c>
      <c r="C34" t="str">
        <f>_xlfn.XLOOKUP(VALUE(InventoryTable[[#This Row],[product_id]]),ProductsTable[product_id],ProductsTable[product_name],"Not Found")</f>
        <v>Wireless Earbuds</v>
      </c>
      <c r="D34" t="s">
        <v>51</v>
      </c>
      <c r="E34">
        <v>134</v>
      </c>
    </row>
    <row r="35" spans="1:5" x14ac:dyDescent="0.2">
      <c r="A35">
        <v>34</v>
      </c>
      <c r="B35">
        <v>16</v>
      </c>
      <c r="C35" t="str">
        <f>_xlfn.XLOOKUP(VALUE(InventoryTable[[#This Row],[product_id]]),ProductsTable[product_id],ProductsTable[product_name],"Not Found")</f>
        <v>Office Chair</v>
      </c>
      <c r="D35" t="s">
        <v>50</v>
      </c>
      <c r="E35">
        <v>51</v>
      </c>
    </row>
    <row r="36" spans="1:5" x14ac:dyDescent="0.2">
      <c r="A36">
        <v>35</v>
      </c>
      <c r="B36">
        <v>16</v>
      </c>
      <c r="C36" t="str">
        <f>_xlfn.XLOOKUP(VALUE(InventoryTable[[#This Row],[product_id]]),ProductsTable[product_id],ProductsTable[product_name],"Not Found")</f>
        <v>Office Chair</v>
      </c>
      <c r="D36" t="s">
        <v>52</v>
      </c>
      <c r="E36">
        <v>38</v>
      </c>
    </row>
    <row r="37" spans="1:5" x14ac:dyDescent="0.2">
      <c r="A37">
        <v>36</v>
      </c>
      <c r="B37">
        <v>17</v>
      </c>
      <c r="C37" t="str">
        <f>_xlfn.XLOOKUP(VALUE(InventoryTable[[#This Row],[product_id]]),ProductsTable[product_id],ProductsTable[product_name],"Not Found")</f>
        <v>Desk Lamp</v>
      </c>
      <c r="D37" t="s">
        <v>51</v>
      </c>
      <c r="E37">
        <v>31</v>
      </c>
    </row>
    <row r="38" spans="1:5" x14ac:dyDescent="0.2">
      <c r="A38">
        <v>37</v>
      </c>
      <c r="B38">
        <v>18</v>
      </c>
      <c r="C38" t="str">
        <f>_xlfn.XLOOKUP(VALUE(InventoryTable[[#This Row],[product_id]]),ProductsTable[product_id],ProductsTable[product_name],"Not Found")</f>
        <v>Standing Desk</v>
      </c>
      <c r="D38" t="s">
        <v>50</v>
      </c>
      <c r="E38">
        <v>78</v>
      </c>
    </row>
    <row r="39" spans="1:5" x14ac:dyDescent="0.2">
      <c r="A39">
        <v>38</v>
      </c>
      <c r="B39">
        <v>19</v>
      </c>
      <c r="C39" t="str">
        <f>_xlfn.XLOOKUP(VALUE(InventoryTable[[#This Row],[product_id]]),ProductsTable[product_id],ProductsTable[product_name],"Not Found")</f>
        <v>Monitor Arm</v>
      </c>
      <c r="D39" t="s">
        <v>51</v>
      </c>
      <c r="E39">
        <v>70</v>
      </c>
    </row>
    <row r="40" spans="1:5" x14ac:dyDescent="0.2">
      <c r="A40">
        <v>39</v>
      </c>
      <c r="B40">
        <v>19</v>
      </c>
      <c r="C40" t="str">
        <f>_xlfn.XLOOKUP(VALUE(InventoryTable[[#This Row],[product_id]]),ProductsTable[product_id],ProductsTable[product_name],"Not Found")</f>
        <v>Monitor Arm</v>
      </c>
      <c r="D40" t="s">
        <v>50</v>
      </c>
      <c r="E40">
        <v>53</v>
      </c>
    </row>
    <row r="41" spans="1:5" x14ac:dyDescent="0.2">
      <c r="A41">
        <v>40</v>
      </c>
      <c r="B41">
        <v>20</v>
      </c>
      <c r="C41" t="str">
        <f>_xlfn.XLOOKUP(VALUE(InventoryTable[[#This Row],[product_id]]),ProductsTable[product_id],ProductsTable[product_name],"Not Found")</f>
        <v>Keyboard Tray</v>
      </c>
      <c r="D41" t="s">
        <v>50</v>
      </c>
      <c r="E41">
        <v>69</v>
      </c>
    </row>
    <row r="42" spans="1:5" x14ac:dyDescent="0.2">
      <c r="A42">
        <v>41</v>
      </c>
      <c r="B42">
        <v>20</v>
      </c>
      <c r="C42" t="str">
        <f>_xlfn.XLOOKUP(VALUE(InventoryTable[[#This Row],[product_id]]),ProductsTable[product_id],ProductsTable[product_name],"Not Found")</f>
        <v>Keyboard Tray</v>
      </c>
      <c r="D42" t="s">
        <v>52</v>
      </c>
      <c r="E42">
        <v>79</v>
      </c>
    </row>
    <row r="43" spans="1:5" x14ac:dyDescent="0.2">
      <c r="A43">
        <v>42</v>
      </c>
      <c r="B43">
        <v>20</v>
      </c>
      <c r="C43" t="str">
        <f>_xlfn.XLOOKUP(VALUE(InventoryTable[[#This Row],[product_id]]),ProductsTable[product_id],ProductsTable[product_name],"Not Found")</f>
        <v>Keyboard Tray</v>
      </c>
      <c r="D43" t="s">
        <v>51</v>
      </c>
      <c r="E43">
        <v>74</v>
      </c>
    </row>
    <row r="44" spans="1:5" x14ac:dyDescent="0.2">
      <c r="A44">
        <v>43</v>
      </c>
      <c r="B44">
        <v>21</v>
      </c>
      <c r="C44" t="str">
        <f>_xlfn.XLOOKUP(VALUE(InventoryTable[[#This Row],[product_id]]),ProductsTable[product_id],ProductsTable[product_name],"Not Found")</f>
        <v>Wi-Fi Router</v>
      </c>
      <c r="D44" t="s">
        <v>51</v>
      </c>
      <c r="E44">
        <v>35</v>
      </c>
    </row>
    <row r="45" spans="1:5" x14ac:dyDescent="0.2">
      <c r="A45">
        <v>44</v>
      </c>
      <c r="B45">
        <v>21</v>
      </c>
      <c r="C45" t="str">
        <f>_xlfn.XLOOKUP(VALUE(InventoryTable[[#This Row],[product_id]]),ProductsTable[product_id],ProductsTable[product_name],"Not Found")</f>
        <v>Wi-Fi Router</v>
      </c>
      <c r="D45" t="s">
        <v>50</v>
      </c>
      <c r="E45">
        <v>93</v>
      </c>
    </row>
    <row r="46" spans="1:5" x14ac:dyDescent="0.2">
      <c r="A46">
        <v>45</v>
      </c>
      <c r="B46">
        <v>21</v>
      </c>
      <c r="C46" t="str">
        <f>_xlfn.XLOOKUP(VALUE(InventoryTable[[#This Row],[product_id]]),ProductsTable[product_id],ProductsTable[product_name],"Not Found")</f>
        <v>Wi-Fi Router</v>
      </c>
      <c r="D46" t="s">
        <v>52</v>
      </c>
      <c r="E46">
        <v>40</v>
      </c>
    </row>
    <row r="47" spans="1:5" x14ac:dyDescent="0.2">
      <c r="A47">
        <v>46</v>
      </c>
      <c r="B47">
        <v>22</v>
      </c>
      <c r="C47" t="str">
        <f>_xlfn.XLOOKUP(VALUE(InventoryTable[[#This Row],[product_id]]),ProductsTable[product_id],ProductsTable[product_name],"Not Found")</f>
        <v>Network Switch</v>
      </c>
      <c r="D47" t="s">
        <v>51</v>
      </c>
      <c r="E47">
        <v>57</v>
      </c>
    </row>
    <row r="48" spans="1:5" x14ac:dyDescent="0.2">
      <c r="A48">
        <v>47</v>
      </c>
      <c r="B48">
        <v>22</v>
      </c>
      <c r="C48" t="str">
        <f>_xlfn.XLOOKUP(VALUE(InventoryTable[[#This Row],[product_id]]),ProductsTable[product_id],ProductsTable[product_name],"Not Found")</f>
        <v>Network Switch</v>
      </c>
      <c r="D48" t="s">
        <v>52</v>
      </c>
      <c r="E48">
        <v>91</v>
      </c>
    </row>
    <row r="49" spans="1:5" x14ac:dyDescent="0.2">
      <c r="A49">
        <v>48</v>
      </c>
      <c r="B49">
        <v>23</v>
      </c>
      <c r="C49" t="str">
        <f>_xlfn.XLOOKUP(VALUE(InventoryTable[[#This Row],[product_id]]),ProductsTable[product_id],ProductsTable[product_name],"Not Found")</f>
        <v>Wi-Fi Extender</v>
      </c>
      <c r="D49" t="s">
        <v>52</v>
      </c>
      <c r="E49">
        <v>17</v>
      </c>
    </row>
    <row r="50" spans="1:5" x14ac:dyDescent="0.2">
      <c r="A50">
        <v>49</v>
      </c>
      <c r="B50">
        <v>23</v>
      </c>
      <c r="C50" t="str">
        <f>_xlfn.XLOOKUP(VALUE(InventoryTable[[#This Row],[product_id]]),ProductsTable[product_id],ProductsTable[product_name],"Not Found")</f>
        <v>Wi-Fi Extender</v>
      </c>
      <c r="D50" t="s">
        <v>51</v>
      </c>
      <c r="E50">
        <v>19</v>
      </c>
    </row>
    <row r="51" spans="1:5" x14ac:dyDescent="0.2">
      <c r="A51">
        <v>50</v>
      </c>
      <c r="B51">
        <v>24</v>
      </c>
      <c r="C51" t="str">
        <f>_xlfn.XLOOKUP(VALUE(InventoryTable[[#This Row],[product_id]]),ProductsTable[product_id],ProductsTable[product_name],"Not Found")</f>
        <v>Ethernet Adapter</v>
      </c>
      <c r="D51" t="s">
        <v>51</v>
      </c>
      <c r="E51">
        <v>44</v>
      </c>
    </row>
    <row r="52" spans="1:5" x14ac:dyDescent="0.2">
      <c r="A52">
        <v>51</v>
      </c>
      <c r="B52">
        <v>24</v>
      </c>
      <c r="C52" t="str">
        <f>_xlfn.XLOOKUP(VALUE(InventoryTable[[#This Row],[product_id]]),ProductsTable[product_id],ProductsTable[product_name],"Not Found")</f>
        <v>Ethernet Adapter</v>
      </c>
      <c r="D52" t="s">
        <v>52</v>
      </c>
      <c r="E52">
        <v>84</v>
      </c>
    </row>
    <row r="53" spans="1:5" x14ac:dyDescent="0.2">
      <c r="A53">
        <v>52</v>
      </c>
      <c r="B53">
        <v>24</v>
      </c>
      <c r="C53" t="str">
        <f>_xlfn.XLOOKUP(VALUE(InventoryTable[[#This Row],[product_id]]),ProductsTable[product_id],ProductsTable[product_name],"Not Found")</f>
        <v>Ethernet Adapter</v>
      </c>
      <c r="D53" t="s">
        <v>50</v>
      </c>
      <c r="E53">
        <v>115</v>
      </c>
    </row>
    <row r="54" spans="1:5" x14ac:dyDescent="0.2">
      <c r="A54">
        <v>53</v>
      </c>
      <c r="B54">
        <v>25</v>
      </c>
      <c r="C54" t="str">
        <f>_xlfn.XLOOKUP(VALUE(InventoryTable[[#This Row],[product_id]]),ProductsTable[product_id],ProductsTable[product_name],"Not Found")</f>
        <v>Mesh Wi-Fi System</v>
      </c>
      <c r="D54" t="s">
        <v>52</v>
      </c>
      <c r="E54">
        <v>29</v>
      </c>
    </row>
    <row r="55" spans="1:5" x14ac:dyDescent="0.2">
      <c r="A55">
        <v>54</v>
      </c>
      <c r="B55">
        <v>25</v>
      </c>
      <c r="C55" t="str">
        <f>_xlfn.XLOOKUP(VALUE(InventoryTable[[#This Row],[product_id]]),ProductsTable[product_id],ProductsTable[product_name],"Not Found")</f>
        <v>Mesh Wi-Fi System</v>
      </c>
      <c r="D55" t="s">
        <v>51</v>
      </c>
      <c r="E55">
        <v>45</v>
      </c>
    </row>
    <row r="56" spans="1:5" x14ac:dyDescent="0.2">
      <c r="A56">
        <v>55</v>
      </c>
      <c r="B56">
        <v>25</v>
      </c>
      <c r="C56" t="str">
        <f>_xlfn.XLOOKUP(VALUE(InventoryTable[[#This Row],[product_id]]),ProductsTable[product_id],ProductsTable[product_name],"Not Found")</f>
        <v>Mesh Wi-Fi System</v>
      </c>
      <c r="D56" t="s">
        <v>50</v>
      </c>
      <c r="E56">
        <v>39</v>
      </c>
    </row>
  </sheetData>
  <pageMargins left="0.7" right="0.7" top="0.75" bottom="0.75" header="0.3" footer="0.3"/>
  <pageSetup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75EE-63C0-DB45-9A8C-784D871A9B58}">
  <dimension ref="A3:C9"/>
  <sheetViews>
    <sheetView workbookViewId="0">
      <selection activeCell="C5" sqref="C5"/>
    </sheetView>
  </sheetViews>
  <sheetFormatPr baseColWidth="10" defaultRowHeight="16" x14ac:dyDescent="0.2"/>
  <cols>
    <col min="1" max="1" width="13" bestFit="1" customWidth="1"/>
    <col min="2" max="2" width="14.33203125" bestFit="1" customWidth="1"/>
    <col min="3" max="3" width="9.5" bestFit="1" customWidth="1"/>
  </cols>
  <sheetData>
    <row r="3" spans="1:3" x14ac:dyDescent="0.2">
      <c r="A3" s="2" t="s">
        <v>38</v>
      </c>
      <c r="B3" t="s">
        <v>40</v>
      </c>
      <c r="C3" t="s">
        <v>41</v>
      </c>
    </row>
    <row r="4" spans="1:3" x14ac:dyDescent="0.2">
      <c r="A4" s="3" t="s">
        <v>33</v>
      </c>
      <c r="B4">
        <v>218</v>
      </c>
      <c r="C4" s="4">
        <v>0.29380053908355797</v>
      </c>
    </row>
    <row r="5" spans="1:3" x14ac:dyDescent="0.2">
      <c r="A5" s="3" t="s">
        <v>9</v>
      </c>
      <c r="B5">
        <v>199</v>
      </c>
      <c r="C5" s="4">
        <v>0.26819407008086255</v>
      </c>
    </row>
    <row r="6" spans="1:3" x14ac:dyDescent="0.2">
      <c r="A6" s="3" t="s">
        <v>21</v>
      </c>
      <c r="B6">
        <v>142</v>
      </c>
      <c r="C6" s="4">
        <v>0.19137466307277629</v>
      </c>
    </row>
    <row r="7" spans="1:3" x14ac:dyDescent="0.2">
      <c r="A7" s="3" t="s">
        <v>27</v>
      </c>
      <c r="B7">
        <v>108</v>
      </c>
      <c r="C7" s="4">
        <v>0.14555256064690028</v>
      </c>
    </row>
    <row r="8" spans="1:3" x14ac:dyDescent="0.2">
      <c r="A8" s="3" t="s">
        <v>15</v>
      </c>
      <c r="B8">
        <v>75</v>
      </c>
      <c r="C8" s="4">
        <v>0.10107816711590296</v>
      </c>
    </row>
    <row r="9" spans="1:3" x14ac:dyDescent="0.2">
      <c r="A9" s="3" t="s">
        <v>39</v>
      </c>
      <c r="B9">
        <v>742</v>
      </c>
      <c r="C9" s="4">
        <v>1</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B276F-5B49-C946-BCAD-B518F787771C}">
  <dimension ref="A3:F36"/>
  <sheetViews>
    <sheetView workbookViewId="0">
      <selection activeCell="H20" sqref="H20"/>
    </sheetView>
  </sheetViews>
  <sheetFormatPr baseColWidth="10" defaultRowHeight="16" x14ac:dyDescent="0.2"/>
  <cols>
    <col min="1" max="1" width="23.33203125" bestFit="1" customWidth="1"/>
    <col min="2" max="2" width="15.5" bestFit="1" customWidth="1"/>
    <col min="3" max="3" width="6.5" bestFit="1" customWidth="1"/>
    <col min="4" max="4" width="10.83203125" bestFit="1" customWidth="1"/>
    <col min="5" max="5" width="6.5" bestFit="1" customWidth="1"/>
    <col min="6" max="6" width="10.83203125" style="4" bestFit="1" customWidth="1"/>
    <col min="7" max="10" width="7.5" bestFit="1" customWidth="1"/>
    <col min="11" max="18" width="5.5" bestFit="1" customWidth="1"/>
    <col min="19" max="36" width="6.5" bestFit="1" customWidth="1"/>
    <col min="37" max="43" width="5" bestFit="1" customWidth="1"/>
    <col min="44" max="70" width="6" bestFit="1" customWidth="1"/>
    <col min="71" max="77" width="7" bestFit="1" customWidth="1"/>
    <col min="78" max="78" width="10.83203125" bestFit="1" customWidth="1"/>
    <col min="79" max="80" width="7" bestFit="1" customWidth="1"/>
    <col min="81" max="81" width="9" bestFit="1" customWidth="1"/>
  </cols>
  <sheetData>
    <row r="3" spans="1:6" x14ac:dyDescent="0.2">
      <c r="A3" s="2" t="s">
        <v>40</v>
      </c>
      <c r="B3" s="2" t="s">
        <v>42</v>
      </c>
      <c r="E3" s="5"/>
      <c r="F3" s="5"/>
    </row>
    <row r="4" spans="1:6" x14ac:dyDescent="0.2">
      <c r="B4" t="s">
        <v>43</v>
      </c>
      <c r="C4" t="s">
        <v>44</v>
      </c>
      <c r="D4" t="s">
        <v>39</v>
      </c>
      <c r="E4" s="5" t="s">
        <v>45</v>
      </c>
      <c r="F4" s="5" t="s">
        <v>46</v>
      </c>
    </row>
    <row r="5" spans="1:6" x14ac:dyDescent="0.2">
      <c r="A5" s="2" t="s">
        <v>38</v>
      </c>
      <c r="E5" s="7">
        <f>C5-B5</f>
        <v>0</v>
      </c>
      <c r="F5" s="7" t="str">
        <f t="shared" ref="F5:F30" si="0">IF(B5=0, "N/A", E5/B5)</f>
        <v>N/A</v>
      </c>
    </row>
    <row r="6" spans="1:6" x14ac:dyDescent="0.2">
      <c r="A6" s="3" t="s">
        <v>9</v>
      </c>
      <c r="B6">
        <v>70</v>
      </c>
      <c r="C6">
        <v>17</v>
      </c>
      <c r="D6">
        <v>87</v>
      </c>
      <c r="E6">
        <f>C6-B6</f>
        <v>-53</v>
      </c>
      <c r="F6" s="4">
        <f t="shared" si="0"/>
        <v>-0.75714285714285712</v>
      </c>
    </row>
    <row r="7" spans="1:6" x14ac:dyDescent="0.2">
      <c r="A7" s="6" t="s">
        <v>11</v>
      </c>
      <c r="B7">
        <v>3</v>
      </c>
      <c r="D7">
        <v>3</v>
      </c>
      <c r="E7">
        <f t="shared" ref="E7:E36" si="1">C7-B7</f>
        <v>-3</v>
      </c>
      <c r="F7" s="4">
        <f t="shared" si="0"/>
        <v>-1</v>
      </c>
    </row>
    <row r="8" spans="1:6" x14ac:dyDescent="0.2">
      <c r="A8" s="6" t="s">
        <v>13</v>
      </c>
      <c r="B8">
        <v>17</v>
      </c>
      <c r="C8">
        <v>6</v>
      </c>
      <c r="D8">
        <v>23</v>
      </c>
      <c r="E8">
        <f t="shared" si="1"/>
        <v>-11</v>
      </c>
      <c r="F8" s="4">
        <f t="shared" si="0"/>
        <v>-0.6470588235294118</v>
      </c>
    </row>
    <row r="9" spans="1:6" x14ac:dyDescent="0.2">
      <c r="A9" s="6" t="s">
        <v>10</v>
      </c>
      <c r="B9">
        <v>13</v>
      </c>
      <c r="C9">
        <v>5</v>
      </c>
      <c r="D9">
        <v>18</v>
      </c>
      <c r="E9">
        <f t="shared" si="1"/>
        <v>-8</v>
      </c>
      <c r="F9" s="4">
        <f t="shared" si="0"/>
        <v>-0.61538461538461542</v>
      </c>
    </row>
    <row r="10" spans="1:6" x14ac:dyDescent="0.2">
      <c r="A10" s="6" t="s">
        <v>12</v>
      </c>
      <c r="B10">
        <v>7</v>
      </c>
      <c r="C10">
        <v>6</v>
      </c>
      <c r="D10">
        <v>13</v>
      </c>
      <c r="E10">
        <f t="shared" si="1"/>
        <v>-1</v>
      </c>
      <c r="F10" s="4">
        <f t="shared" si="0"/>
        <v>-0.14285714285714285</v>
      </c>
    </row>
    <row r="11" spans="1:6" x14ac:dyDescent="0.2">
      <c r="A11" s="6" t="s">
        <v>8</v>
      </c>
      <c r="B11">
        <v>30</v>
      </c>
      <c r="D11">
        <v>30</v>
      </c>
      <c r="E11">
        <f t="shared" si="1"/>
        <v>-30</v>
      </c>
      <c r="F11" s="4">
        <f t="shared" si="0"/>
        <v>-1</v>
      </c>
    </row>
    <row r="12" spans="1:6" x14ac:dyDescent="0.2">
      <c r="A12" s="3" t="s">
        <v>21</v>
      </c>
      <c r="B12">
        <v>25</v>
      </c>
      <c r="C12">
        <v>28</v>
      </c>
      <c r="D12">
        <v>53</v>
      </c>
      <c r="E12">
        <f t="shared" si="1"/>
        <v>3</v>
      </c>
      <c r="F12" s="4">
        <f t="shared" si="0"/>
        <v>0.12</v>
      </c>
    </row>
    <row r="13" spans="1:6" x14ac:dyDescent="0.2">
      <c r="A13" s="6" t="s">
        <v>20</v>
      </c>
      <c r="B13">
        <v>4</v>
      </c>
      <c r="C13">
        <v>6</v>
      </c>
      <c r="D13">
        <v>10</v>
      </c>
      <c r="E13">
        <f t="shared" si="1"/>
        <v>2</v>
      </c>
      <c r="F13" s="4">
        <f t="shared" si="0"/>
        <v>0.5</v>
      </c>
    </row>
    <row r="14" spans="1:6" x14ac:dyDescent="0.2">
      <c r="A14" s="6" t="s">
        <v>23</v>
      </c>
      <c r="B14">
        <v>7</v>
      </c>
      <c r="C14">
        <v>1</v>
      </c>
      <c r="D14">
        <v>8</v>
      </c>
      <c r="E14">
        <f t="shared" si="1"/>
        <v>-6</v>
      </c>
      <c r="F14" s="4">
        <f t="shared" si="0"/>
        <v>-0.8571428571428571</v>
      </c>
    </row>
    <row r="15" spans="1:6" x14ac:dyDescent="0.2">
      <c r="A15" s="6" t="s">
        <v>24</v>
      </c>
      <c r="B15">
        <v>4</v>
      </c>
      <c r="C15">
        <v>10</v>
      </c>
      <c r="D15">
        <v>14</v>
      </c>
      <c r="E15">
        <f t="shared" si="1"/>
        <v>6</v>
      </c>
      <c r="F15" s="4">
        <f t="shared" si="0"/>
        <v>1.5</v>
      </c>
    </row>
    <row r="16" spans="1:6" x14ac:dyDescent="0.2">
      <c r="A16" s="6" t="s">
        <v>25</v>
      </c>
      <c r="B16">
        <v>5</v>
      </c>
      <c r="C16">
        <v>6</v>
      </c>
      <c r="D16">
        <v>11</v>
      </c>
      <c r="E16">
        <f t="shared" si="1"/>
        <v>1</v>
      </c>
      <c r="F16" s="4">
        <f t="shared" si="0"/>
        <v>0.2</v>
      </c>
    </row>
    <row r="17" spans="1:6" x14ac:dyDescent="0.2">
      <c r="A17" s="6" t="s">
        <v>22</v>
      </c>
      <c r="B17">
        <v>5</v>
      </c>
      <c r="C17">
        <v>5</v>
      </c>
      <c r="D17">
        <v>10</v>
      </c>
      <c r="E17">
        <f t="shared" si="1"/>
        <v>0</v>
      </c>
      <c r="F17" s="4">
        <f t="shared" si="0"/>
        <v>0</v>
      </c>
    </row>
    <row r="18" spans="1:6" x14ac:dyDescent="0.2">
      <c r="A18" s="3" t="s">
        <v>15</v>
      </c>
      <c r="B18">
        <v>26</v>
      </c>
      <c r="C18">
        <v>16</v>
      </c>
      <c r="D18">
        <v>42</v>
      </c>
      <c r="E18">
        <f t="shared" si="1"/>
        <v>-10</v>
      </c>
      <c r="F18" s="4">
        <f t="shared" si="0"/>
        <v>-0.38461538461538464</v>
      </c>
    </row>
    <row r="19" spans="1:6" x14ac:dyDescent="0.2">
      <c r="A19" s="6" t="s">
        <v>14</v>
      </c>
      <c r="B19">
        <v>7</v>
      </c>
      <c r="D19">
        <v>7</v>
      </c>
      <c r="E19">
        <f t="shared" si="1"/>
        <v>-7</v>
      </c>
      <c r="F19" s="4">
        <f t="shared" si="0"/>
        <v>-1</v>
      </c>
    </row>
    <row r="20" spans="1:6" x14ac:dyDescent="0.2">
      <c r="A20" s="6" t="s">
        <v>17</v>
      </c>
      <c r="B20">
        <v>5</v>
      </c>
      <c r="D20">
        <v>5</v>
      </c>
      <c r="E20">
        <f t="shared" si="1"/>
        <v>-5</v>
      </c>
      <c r="F20" s="4">
        <f t="shared" si="0"/>
        <v>-1</v>
      </c>
    </row>
    <row r="21" spans="1:6" x14ac:dyDescent="0.2">
      <c r="A21" s="6" t="s">
        <v>16</v>
      </c>
      <c r="B21">
        <v>3</v>
      </c>
      <c r="C21">
        <v>2</v>
      </c>
      <c r="D21">
        <v>5</v>
      </c>
      <c r="E21">
        <f t="shared" si="1"/>
        <v>-1</v>
      </c>
      <c r="F21" s="4">
        <f t="shared" si="0"/>
        <v>-0.33333333333333331</v>
      </c>
    </row>
    <row r="22" spans="1:6" x14ac:dyDescent="0.2">
      <c r="A22" s="6" t="s">
        <v>18</v>
      </c>
      <c r="B22">
        <v>4</v>
      </c>
      <c r="C22">
        <v>5</v>
      </c>
      <c r="D22">
        <v>9</v>
      </c>
      <c r="E22">
        <f t="shared" si="1"/>
        <v>1</v>
      </c>
      <c r="F22" s="4">
        <f t="shared" si="0"/>
        <v>0.25</v>
      </c>
    </row>
    <row r="23" spans="1:6" x14ac:dyDescent="0.2">
      <c r="A23" s="6" t="s">
        <v>19</v>
      </c>
      <c r="B23">
        <v>7</v>
      </c>
      <c r="C23">
        <v>9</v>
      </c>
      <c r="D23">
        <v>16</v>
      </c>
      <c r="E23">
        <f t="shared" si="1"/>
        <v>2</v>
      </c>
      <c r="F23" s="4">
        <f t="shared" si="0"/>
        <v>0.2857142857142857</v>
      </c>
    </row>
    <row r="24" spans="1:6" x14ac:dyDescent="0.2">
      <c r="A24" s="3" t="s">
        <v>33</v>
      </c>
      <c r="B24">
        <v>55</v>
      </c>
      <c r="C24">
        <v>32</v>
      </c>
      <c r="D24">
        <v>87</v>
      </c>
      <c r="E24">
        <f t="shared" si="1"/>
        <v>-23</v>
      </c>
      <c r="F24" s="4">
        <f t="shared" si="0"/>
        <v>-0.41818181818181815</v>
      </c>
    </row>
    <row r="25" spans="1:6" x14ac:dyDescent="0.2">
      <c r="A25" s="6" t="s">
        <v>36</v>
      </c>
      <c r="B25">
        <v>5</v>
      </c>
      <c r="C25">
        <v>6</v>
      </c>
      <c r="D25">
        <v>11</v>
      </c>
      <c r="E25">
        <f t="shared" si="1"/>
        <v>1</v>
      </c>
      <c r="F25" s="4">
        <f t="shared" si="0"/>
        <v>0.2</v>
      </c>
    </row>
    <row r="26" spans="1:6" x14ac:dyDescent="0.2">
      <c r="A26" s="6" t="s">
        <v>37</v>
      </c>
      <c r="B26">
        <v>25</v>
      </c>
      <c r="C26">
        <v>7</v>
      </c>
      <c r="D26">
        <v>32</v>
      </c>
      <c r="E26">
        <f t="shared" si="1"/>
        <v>-18</v>
      </c>
      <c r="F26" s="4">
        <f t="shared" si="0"/>
        <v>-0.72</v>
      </c>
    </row>
    <row r="27" spans="1:6" x14ac:dyDescent="0.2">
      <c r="A27" s="6" t="s">
        <v>34</v>
      </c>
      <c r="B27">
        <v>11</v>
      </c>
      <c r="C27">
        <v>8</v>
      </c>
      <c r="D27">
        <v>19</v>
      </c>
      <c r="E27">
        <f t="shared" si="1"/>
        <v>-3</v>
      </c>
      <c r="F27" s="4">
        <f t="shared" si="0"/>
        <v>-0.27272727272727271</v>
      </c>
    </row>
    <row r="28" spans="1:6" x14ac:dyDescent="0.2">
      <c r="A28" s="6" t="s">
        <v>35</v>
      </c>
      <c r="B28">
        <v>2</v>
      </c>
      <c r="C28">
        <v>10</v>
      </c>
      <c r="D28">
        <v>12</v>
      </c>
      <c r="E28">
        <f t="shared" si="1"/>
        <v>8</v>
      </c>
      <c r="F28" s="4">
        <f t="shared" si="0"/>
        <v>4</v>
      </c>
    </row>
    <row r="29" spans="1:6" x14ac:dyDescent="0.2">
      <c r="A29" s="6" t="s">
        <v>32</v>
      </c>
      <c r="B29">
        <v>12</v>
      </c>
      <c r="C29">
        <v>1</v>
      </c>
      <c r="D29">
        <v>13</v>
      </c>
      <c r="E29">
        <f t="shared" si="1"/>
        <v>-11</v>
      </c>
      <c r="F29" s="4">
        <f t="shared" si="0"/>
        <v>-0.91666666666666663</v>
      </c>
    </row>
    <row r="30" spans="1:6" x14ac:dyDescent="0.2">
      <c r="A30" s="3" t="s">
        <v>27</v>
      </c>
      <c r="B30">
        <v>28</v>
      </c>
      <c r="C30">
        <v>32</v>
      </c>
      <c r="D30">
        <v>60</v>
      </c>
      <c r="E30">
        <f t="shared" si="1"/>
        <v>4</v>
      </c>
      <c r="F30" s="4">
        <f t="shared" si="0"/>
        <v>0.14285714285714285</v>
      </c>
    </row>
    <row r="31" spans="1:6" x14ac:dyDescent="0.2">
      <c r="A31" s="6" t="s">
        <v>28</v>
      </c>
      <c r="C31">
        <v>3</v>
      </c>
      <c r="D31">
        <v>3</v>
      </c>
      <c r="E31">
        <f t="shared" si="1"/>
        <v>3</v>
      </c>
      <c r="F31" s="4" t="str">
        <f t="shared" ref="F31:F36" si="2">IF(B31=0, "N/A", E31/B31)</f>
        <v>N/A</v>
      </c>
    </row>
    <row r="32" spans="1:6" x14ac:dyDescent="0.2">
      <c r="A32" s="6" t="s">
        <v>31</v>
      </c>
      <c r="B32">
        <v>8</v>
      </c>
      <c r="C32">
        <v>2</v>
      </c>
      <c r="D32">
        <v>10</v>
      </c>
      <c r="E32">
        <f t="shared" si="1"/>
        <v>-6</v>
      </c>
      <c r="F32" s="4">
        <f t="shared" si="2"/>
        <v>-0.75</v>
      </c>
    </row>
    <row r="33" spans="1:6" x14ac:dyDescent="0.2">
      <c r="A33" s="6" t="s">
        <v>30</v>
      </c>
      <c r="B33">
        <v>15</v>
      </c>
      <c r="C33">
        <v>4</v>
      </c>
      <c r="D33">
        <v>19</v>
      </c>
      <c r="E33">
        <f t="shared" si="1"/>
        <v>-11</v>
      </c>
      <c r="F33" s="4">
        <f t="shared" si="2"/>
        <v>-0.73333333333333328</v>
      </c>
    </row>
    <row r="34" spans="1:6" x14ac:dyDescent="0.2">
      <c r="A34" s="6" t="s">
        <v>26</v>
      </c>
      <c r="B34">
        <v>2</v>
      </c>
      <c r="C34">
        <v>23</v>
      </c>
      <c r="D34">
        <v>25</v>
      </c>
      <c r="E34">
        <f t="shared" si="1"/>
        <v>21</v>
      </c>
      <c r="F34" s="4">
        <f t="shared" si="2"/>
        <v>10.5</v>
      </c>
    </row>
    <row r="35" spans="1:6" x14ac:dyDescent="0.2">
      <c r="A35" s="6" t="s">
        <v>29</v>
      </c>
      <c r="B35">
        <v>3</v>
      </c>
      <c r="D35">
        <v>3</v>
      </c>
      <c r="E35">
        <f t="shared" si="1"/>
        <v>-3</v>
      </c>
      <c r="F35" s="4">
        <f t="shared" si="2"/>
        <v>-1</v>
      </c>
    </row>
    <row r="36" spans="1:6" x14ac:dyDescent="0.2">
      <c r="A36" s="3" t="s">
        <v>39</v>
      </c>
      <c r="B36">
        <v>204</v>
      </c>
      <c r="C36">
        <v>125</v>
      </c>
      <c r="D36">
        <v>329</v>
      </c>
      <c r="E36">
        <f t="shared" si="1"/>
        <v>-79</v>
      </c>
      <c r="F36" s="4">
        <f t="shared" si="2"/>
        <v>-0.38725490196078433</v>
      </c>
    </row>
  </sheetData>
  <autoFilter ref="E4:F36" xr:uid="{F2A23E62-4FE9-CC47-AEA6-FD3678FC4DCC}">
    <sortState xmlns:xlrd2="http://schemas.microsoft.com/office/spreadsheetml/2017/richdata2" ref="E5:F36">
      <sortCondition ref="E4:E36"/>
    </sortState>
  </autoFilter>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4980-9AE4-A246-A789-6AE15E038C07}">
  <dimension ref="A3:E10"/>
  <sheetViews>
    <sheetView workbookViewId="0">
      <selection activeCell="D16" sqref="D16"/>
    </sheetView>
  </sheetViews>
  <sheetFormatPr baseColWidth="10" defaultRowHeight="16" x14ac:dyDescent="0.2"/>
  <cols>
    <col min="1" max="1" width="19.83203125" bestFit="1" customWidth="1"/>
    <col min="2" max="2" width="15.5" bestFit="1" customWidth="1"/>
    <col min="3" max="3" width="6.33203125" bestFit="1" customWidth="1"/>
    <col min="4" max="4" width="9.1640625" bestFit="1" customWidth="1"/>
  </cols>
  <sheetData>
    <row r="3" spans="1:5" x14ac:dyDescent="0.2">
      <c r="A3" s="2" t="s">
        <v>53</v>
      </c>
      <c r="B3" s="2" t="s">
        <v>42</v>
      </c>
    </row>
    <row r="4" spans="1:5" x14ac:dyDescent="0.2">
      <c r="A4" s="2" t="s">
        <v>38</v>
      </c>
      <c r="B4" t="s">
        <v>52</v>
      </c>
      <c r="C4" t="s">
        <v>51</v>
      </c>
      <c r="D4" t="s">
        <v>50</v>
      </c>
      <c r="E4" t="s">
        <v>39</v>
      </c>
    </row>
    <row r="5" spans="1:5" x14ac:dyDescent="0.2">
      <c r="A5" s="3" t="s">
        <v>14</v>
      </c>
      <c r="B5">
        <v>46</v>
      </c>
      <c r="D5">
        <v>23</v>
      </c>
      <c r="E5">
        <v>69</v>
      </c>
    </row>
    <row r="6" spans="1:5" x14ac:dyDescent="0.2">
      <c r="A6" s="3" t="s">
        <v>17</v>
      </c>
      <c r="B6">
        <v>30</v>
      </c>
      <c r="E6">
        <v>30</v>
      </c>
    </row>
    <row r="7" spans="1:5" x14ac:dyDescent="0.2">
      <c r="A7" s="3" t="s">
        <v>37</v>
      </c>
      <c r="B7">
        <v>29</v>
      </c>
      <c r="C7">
        <v>45</v>
      </c>
      <c r="D7">
        <v>39</v>
      </c>
      <c r="E7">
        <v>113</v>
      </c>
    </row>
    <row r="8" spans="1:5" x14ac:dyDescent="0.2">
      <c r="A8" s="3" t="s">
        <v>32</v>
      </c>
      <c r="B8">
        <v>40</v>
      </c>
      <c r="C8">
        <v>35</v>
      </c>
      <c r="D8">
        <v>93</v>
      </c>
      <c r="E8">
        <v>168</v>
      </c>
    </row>
    <row r="9" spans="1:5" x14ac:dyDescent="0.2">
      <c r="A9" s="3" t="s">
        <v>8</v>
      </c>
      <c r="C9">
        <v>136</v>
      </c>
      <c r="D9">
        <v>133</v>
      </c>
      <c r="E9">
        <v>269</v>
      </c>
    </row>
    <row r="10" spans="1:5" x14ac:dyDescent="0.2">
      <c r="A10" s="3" t="s">
        <v>39</v>
      </c>
      <c r="B10">
        <v>145</v>
      </c>
      <c r="C10">
        <v>216</v>
      </c>
      <c r="D10">
        <v>288</v>
      </c>
      <c r="E10">
        <v>649</v>
      </c>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EB3AD-EA75-DB4E-AE13-9B15E9CDFA31}">
  <dimension ref="A1:AD30"/>
  <sheetViews>
    <sheetView workbookViewId="0">
      <selection activeCell="M4" sqref="M4:N4"/>
    </sheetView>
  </sheetViews>
  <sheetFormatPr baseColWidth="10" defaultRowHeight="16" x14ac:dyDescent="0.2"/>
  <cols>
    <col min="1" max="1" width="13" bestFit="1" customWidth="1"/>
    <col min="2" max="3" width="14.33203125" bestFit="1" customWidth="1"/>
    <col min="4" max="4" width="15.83203125" bestFit="1" customWidth="1"/>
    <col min="5" max="5" width="17.33203125" bestFit="1" customWidth="1"/>
    <col min="6" max="6" width="19.33203125" bestFit="1" customWidth="1"/>
    <col min="9" max="9" width="14.33203125" bestFit="1" customWidth="1"/>
    <col min="10" max="10" width="15.5" bestFit="1" customWidth="1"/>
    <col min="11" max="11" width="4.33203125" bestFit="1" customWidth="1"/>
    <col min="12" max="12" width="10.83203125" bestFit="1" customWidth="1"/>
    <col min="13" max="13" width="17.33203125" bestFit="1" customWidth="1"/>
    <col min="14" max="14" width="19.33203125" bestFit="1" customWidth="1"/>
    <col min="17" max="17" width="19" bestFit="1" customWidth="1"/>
    <col min="18" max="18" width="15.5" bestFit="1" customWidth="1"/>
    <col min="19" max="19" width="4.33203125" bestFit="1" customWidth="1"/>
    <col min="20" max="20" width="10.83203125" bestFit="1" customWidth="1"/>
    <col min="21" max="21" width="4.33203125" bestFit="1" customWidth="1"/>
    <col min="24" max="24" width="19" bestFit="1" customWidth="1"/>
    <col min="25" max="25" width="15.5" bestFit="1" customWidth="1"/>
    <col min="26" max="26" width="4.33203125" bestFit="1" customWidth="1"/>
    <col min="27" max="27" width="10.83203125" bestFit="1" customWidth="1"/>
    <col min="28" max="28" width="4.33203125" bestFit="1" customWidth="1"/>
  </cols>
  <sheetData>
    <row r="1" spans="1:27" x14ac:dyDescent="0.2">
      <c r="A1" s="26" t="s">
        <v>60</v>
      </c>
      <c r="B1" s="26"/>
      <c r="C1" s="26"/>
      <c r="D1" s="26"/>
      <c r="E1" s="26"/>
      <c r="F1" s="26"/>
      <c r="I1" s="27" t="s">
        <v>61</v>
      </c>
      <c r="J1" s="27"/>
      <c r="K1" s="27"/>
      <c r="L1" s="27"/>
      <c r="M1" s="27"/>
      <c r="N1" s="27"/>
      <c r="Q1" s="27" t="s">
        <v>62</v>
      </c>
      <c r="R1" s="27"/>
      <c r="S1" s="27"/>
      <c r="T1" s="27"/>
      <c r="X1" s="27" t="s">
        <v>63</v>
      </c>
      <c r="Y1" s="27"/>
      <c r="Z1" s="27"/>
      <c r="AA1" s="27"/>
    </row>
    <row r="3" spans="1:27" x14ac:dyDescent="0.2">
      <c r="A3" s="2" t="s">
        <v>38</v>
      </c>
      <c r="B3" t="s">
        <v>56</v>
      </c>
      <c r="C3" t="s">
        <v>40</v>
      </c>
      <c r="D3" s="7" t="s">
        <v>57</v>
      </c>
      <c r="E3" s="7" t="s">
        <v>58</v>
      </c>
      <c r="F3" s="7" t="s">
        <v>59</v>
      </c>
      <c r="I3" s="2" t="s">
        <v>56</v>
      </c>
      <c r="J3" s="2" t="s">
        <v>42</v>
      </c>
      <c r="Q3" s="2" t="s">
        <v>56</v>
      </c>
      <c r="R3" s="2" t="s">
        <v>42</v>
      </c>
      <c r="X3" s="2" t="s">
        <v>40</v>
      </c>
      <c r="Y3" s="2" t="s">
        <v>42</v>
      </c>
    </row>
    <row r="4" spans="1:27" x14ac:dyDescent="0.2">
      <c r="A4" s="3" t="s">
        <v>54</v>
      </c>
      <c r="B4">
        <v>26</v>
      </c>
      <c r="C4">
        <v>95</v>
      </c>
      <c r="D4">
        <f>95/26</f>
        <v>3.6538461538461537</v>
      </c>
      <c r="I4" s="2" t="s">
        <v>38</v>
      </c>
      <c r="J4" t="s">
        <v>43</v>
      </c>
      <c r="K4" t="s">
        <v>44</v>
      </c>
      <c r="L4" t="s">
        <v>39</v>
      </c>
      <c r="M4" s="5" t="s">
        <v>58</v>
      </c>
      <c r="N4" s="5" t="s">
        <v>59</v>
      </c>
      <c r="Q4" s="2" t="s">
        <v>38</v>
      </c>
      <c r="R4" t="s">
        <v>43</v>
      </c>
      <c r="S4" t="s">
        <v>44</v>
      </c>
      <c r="T4" t="s">
        <v>39</v>
      </c>
      <c r="X4" s="2" t="s">
        <v>38</v>
      </c>
      <c r="Y4" t="s">
        <v>43</v>
      </c>
      <c r="Z4" t="s">
        <v>44</v>
      </c>
      <c r="AA4" t="s">
        <v>39</v>
      </c>
    </row>
    <row r="5" spans="1:27" x14ac:dyDescent="0.2">
      <c r="A5" s="3" t="s">
        <v>55</v>
      </c>
      <c r="B5">
        <v>77</v>
      </c>
      <c r="C5">
        <v>318</v>
      </c>
      <c r="D5">
        <f>318/77</f>
        <v>4.1298701298701301</v>
      </c>
      <c r="I5" s="3" t="s">
        <v>9</v>
      </c>
      <c r="J5">
        <v>15</v>
      </c>
      <c r="K5">
        <v>4</v>
      </c>
      <c r="L5">
        <v>19</v>
      </c>
      <c r="M5">
        <f>4-11</f>
        <v>-7</v>
      </c>
      <c r="N5">
        <f>M5/15*100</f>
        <v>-46.666666666666664</v>
      </c>
      <c r="Q5" s="3" t="s">
        <v>20</v>
      </c>
      <c r="R5">
        <v>2</v>
      </c>
      <c r="S5">
        <v>2</v>
      </c>
      <c r="T5">
        <v>4</v>
      </c>
      <c r="X5" s="3" t="s">
        <v>20</v>
      </c>
      <c r="Y5">
        <v>4</v>
      </c>
      <c r="Z5">
        <v>6</v>
      </c>
      <c r="AA5">
        <v>10</v>
      </c>
    </row>
    <row r="6" spans="1:27" x14ac:dyDescent="0.2">
      <c r="A6" s="3" t="s">
        <v>43</v>
      </c>
      <c r="B6">
        <v>61</v>
      </c>
      <c r="C6">
        <v>204</v>
      </c>
      <c r="D6">
        <f>204/61</f>
        <v>3.3442622950819674</v>
      </c>
      <c r="I6" s="3" t="s">
        <v>21</v>
      </c>
      <c r="J6">
        <v>10</v>
      </c>
      <c r="K6">
        <v>8</v>
      </c>
      <c r="L6">
        <v>18</v>
      </c>
      <c r="M6">
        <f>8-10</f>
        <v>-2</v>
      </c>
      <c r="N6">
        <f>M6/10*100</f>
        <v>-20</v>
      </c>
      <c r="Q6" s="3" t="s">
        <v>14</v>
      </c>
      <c r="R6">
        <v>4</v>
      </c>
      <c r="T6">
        <v>4</v>
      </c>
      <c r="X6" s="3" t="s">
        <v>14</v>
      </c>
      <c r="Y6">
        <v>7</v>
      </c>
      <c r="AA6">
        <v>7</v>
      </c>
    </row>
    <row r="7" spans="1:27" x14ac:dyDescent="0.2">
      <c r="A7" s="3" t="s">
        <v>44</v>
      </c>
      <c r="B7">
        <v>36</v>
      </c>
      <c r="C7">
        <v>125</v>
      </c>
      <c r="D7">
        <f>125/36</f>
        <v>3.4722222222222223</v>
      </c>
      <c r="E7">
        <f>36-61</f>
        <v>-25</v>
      </c>
      <c r="F7">
        <f>E7/61 * 100</f>
        <v>-40.983606557377051</v>
      </c>
      <c r="I7" s="3" t="s">
        <v>15</v>
      </c>
      <c r="J7">
        <v>12</v>
      </c>
      <c r="K7">
        <v>8</v>
      </c>
      <c r="L7">
        <v>20</v>
      </c>
      <c r="M7">
        <f>8-12</f>
        <v>-4</v>
      </c>
      <c r="N7">
        <f>M7/12*100</f>
        <v>-33.333333333333329</v>
      </c>
      <c r="Q7" s="3" t="s">
        <v>28</v>
      </c>
      <c r="S7">
        <v>2</v>
      </c>
      <c r="T7">
        <v>2</v>
      </c>
      <c r="X7" s="3" t="s">
        <v>28</v>
      </c>
      <c r="Z7">
        <v>3</v>
      </c>
      <c r="AA7">
        <v>3</v>
      </c>
    </row>
    <row r="8" spans="1:27" x14ac:dyDescent="0.2">
      <c r="A8" s="3" t="s">
        <v>39</v>
      </c>
      <c r="B8">
        <v>200</v>
      </c>
      <c r="C8">
        <v>742</v>
      </c>
      <c r="I8" s="3" t="s">
        <v>33</v>
      </c>
      <c r="J8">
        <v>14</v>
      </c>
      <c r="K8">
        <v>7</v>
      </c>
      <c r="L8">
        <v>21</v>
      </c>
      <c r="M8">
        <f>7-14</f>
        <v>-7</v>
      </c>
      <c r="N8">
        <f>M8/14*100</f>
        <v>-50</v>
      </c>
      <c r="Q8" s="3" t="s">
        <v>17</v>
      </c>
      <c r="R8">
        <v>2</v>
      </c>
      <c r="T8">
        <v>2</v>
      </c>
      <c r="X8" s="3" t="s">
        <v>17</v>
      </c>
      <c r="Y8">
        <v>5</v>
      </c>
      <c r="AA8">
        <v>5</v>
      </c>
    </row>
    <row r="9" spans="1:27" x14ac:dyDescent="0.2">
      <c r="I9" s="3" t="s">
        <v>27</v>
      </c>
      <c r="J9">
        <v>10</v>
      </c>
      <c r="K9">
        <v>9</v>
      </c>
      <c r="L9">
        <v>19</v>
      </c>
      <c r="M9">
        <f>9-10</f>
        <v>-1</v>
      </c>
      <c r="N9">
        <f>M9/10*100</f>
        <v>-10</v>
      </c>
      <c r="Q9" s="3" t="s">
        <v>36</v>
      </c>
      <c r="R9">
        <v>2</v>
      </c>
      <c r="S9">
        <v>1</v>
      </c>
      <c r="T9">
        <v>3</v>
      </c>
      <c r="X9" s="3" t="s">
        <v>36</v>
      </c>
      <c r="Y9">
        <v>5</v>
      </c>
      <c r="Z9">
        <v>6</v>
      </c>
      <c r="AA9">
        <v>11</v>
      </c>
    </row>
    <row r="10" spans="1:27" x14ac:dyDescent="0.2">
      <c r="I10" s="3" t="s">
        <v>39</v>
      </c>
      <c r="J10">
        <v>61</v>
      </c>
      <c r="K10">
        <v>36</v>
      </c>
      <c r="L10">
        <v>97</v>
      </c>
      <c r="M10">
        <f>36-61</f>
        <v>-25</v>
      </c>
      <c r="N10">
        <f>M10/61*100</f>
        <v>-40.983606557377051</v>
      </c>
      <c r="Q10" s="3" t="s">
        <v>16</v>
      </c>
      <c r="R10">
        <v>1</v>
      </c>
      <c r="S10">
        <v>1</v>
      </c>
      <c r="T10">
        <v>2</v>
      </c>
      <c r="X10" s="3" t="s">
        <v>16</v>
      </c>
      <c r="Y10">
        <v>3</v>
      </c>
      <c r="Z10">
        <v>2</v>
      </c>
      <c r="AA10">
        <v>5</v>
      </c>
    </row>
    <row r="11" spans="1:27" x14ac:dyDescent="0.2">
      <c r="Q11" s="3" t="s">
        <v>31</v>
      </c>
      <c r="R11">
        <v>3</v>
      </c>
      <c r="S11">
        <v>1</v>
      </c>
      <c r="T11">
        <v>4</v>
      </c>
      <c r="X11" s="3" t="s">
        <v>31</v>
      </c>
      <c r="Y11">
        <v>8</v>
      </c>
      <c r="Z11">
        <v>2</v>
      </c>
      <c r="AA11">
        <v>10</v>
      </c>
    </row>
    <row r="12" spans="1:27" x14ac:dyDescent="0.2">
      <c r="Q12" s="3" t="s">
        <v>11</v>
      </c>
      <c r="R12">
        <v>2</v>
      </c>
      <c r="T12">
        <v>2</v>
      </c>
      <c r="X12" s="3" t="s">
        <v>11</v>
      </c>
      <c r="Y12">
        <v>3</v>
      </c>
      <c r="AA12">
        <v>3</v>
      </c>
    </row>
    <row r="13" spans="1:27" x14ac:dyDescent="0.2">
      <c r="Q13" s="3" t="s">
        <v>37</v>
      </c>
      <c r="R13">
        <v>5</v>
      </c>
      <c r="S13">
        <v>1</v>
      </c>
      <c r="T13">
        <v>6</v>
      </c>
      <c r="X13" s="3" t="s">
        <v>37</v>
      </c>
      <c r="Y13">
        <v>25</v>
      </c>
      <c r="Z13">
        <v>7</v>
      </c>
      <c r="AA13">
        <v>32</v>
      </c>
    </row>
    <row r="14" spans="1:27" x14ac:dyDescent="0.2">
      <c r="Q14" s="3" t="s">
        <v>18</v>
      </c>
      <c r="R14">
        <v>2</v>
      </c>
      <c r="S14">
        <v>3</v>
      </c>
      <c r="T14">
        <v>5</v>
      </c>
      <c r="X14" s="3" t="s">
        <v>18</v>
      </c>
      <c r="Y14">
        <v>4</v>
      </c>
      <c r="Z14">
        <v>5</v>
      </c>
      <c r="AA14">
        <v>9</v>
      </c>
    </row>
    <row r="15" spans="1:27" x14ac:dyDescent="0.2">
      <c r="Q15" s="3" t="s">
        <v>30</v>
      </c>
      <c r="R15">
        <v>4</v>
      </c>
      <c r="S15">
        <v>1</v>
      </c>
      <c r="T15">
        <v>5</v>
      </c>
      <c r="X15" s="3" t="s">
        <v>30</v>
      </c>
      <c r="Y15">
        <v>15</v>
      </c>
      <c r="Z15">
        <v>4</v>
      </c>
      <c r="AA15">
        <v>19</v>
      </c>
    </row>
    <row r="16" spans="1:27" x14ac:dyDescent="0.2">
      <c r="Q16" s="3" t="s">
        <v>13</v>
      </c>
      <c r="R16">
        <v>3</v>
      </c>
      <c r="S16">
        <v>1</v>
      </c>
      <c r="T16">
        <v>4</v>
      </c>
      <c r="X16" s="3" t="s">
        <v>13</v>
      </c>
      <c r="Y16">
        <v>17</v>
      </c>
      <c r="Z16">
        <v>6</v>
      </c>
      <c r="AA16">
        <v>23</v>
      </c>
    </row>
    <row r="17" spans="17:30" x14ac:dyDescent="0.2">
      <c r="Q17" s="3" t="s">
        <v>34</v>
      </c>
      <c r="R17">
        <v>3</v>
      </c>
      <c r="S17">
        <v>2</v>
      </c>
      <c r="T17">
        <v>5</v>
      </c>
      <c r="X17" s="3" t="s">
        <v>34</v>
      </c>
      <c r="Y17">
        <v>11</v>
      </c>
      <c r="Z17">
        <v>8</v>
      </c>
      <c r="AA17">
        <v>19</v>
      </c>
    </row>
    <row r="18" spans="17:30" x14ac:dyDescent="0.2">
      <c r="Q18" s="3" t="s">
        <v>26</v>
      </c>
      <c r="R18">
        <v>2</v>
      </c>
      <c r="S18">
        <v>5</v>
      </c>
      <c r="T18">
        <v>7</v>
      </c>
      <c r="X18" s="3" t="s">
        <v>26</v>
      </c>
      <c r="Y18">
        <v>2</v>
      </c>
      <c r="Z18">
        <v>23</v>
      </c>
      <c r="AA18">
        <v>25</v>
      </c>
      <c r="AD18">
        <f>23/125*100</f>
        <v>18.399999999999999</v>
      </c>
    </row>
    <row r="19" spans="17:30" x14ac:dyDescent="0.2">
      <c r="Q19" s="3" t="s">
        <v>23</v>
      </c>
      <c r="R19">
        <v>2</v>
      </c>
      <c r="S19">
        <v>1</v>
      </c>
      <c r="T19">
        <v>3</v>
      </c>
      <c r="X19" s="3" t="s">
        <v>23</v>
      </c>
      <c r="Y19">
        <v>7</v>
      </c>
      <c r="Z19">
        <v>1</v>
      </c>
      <c r="AA19">
        <v>8</v>
      </c>
    </row>
    <row r="20" spans="17:30" x14ac:dyDescent="0.2">
      <c r="Q20" s="3" t="s">
        <v>29</v>
      </c>
      <c r="R20">
        <v>1</v>
      </c>
      <c r="T20">
        <v>1</v>
      </c>
      <c r="X20" s="3" t="s">
        <v>29</v>
      </c>
      <c r="Y20">
        <v>3</v>
      </c>
      <c r="AA20">
        <v>3</v>
      </c>
    </row>
    <row r="21" spans="17:30" x14ac:dyDescent="0.2">
      <c r="Q21" s="3" t="s">
        <v>24</v>
      </c>
      <c r="R21">
        <v>2</v>
      </c>
      <c r="S21">
        <v>2</v>
      </c>
      <c r="T21">
        <v>4</v>
      </c>
      <c r="X21" s="3" t="s">
        <v>24</v>
      </c>
      <c r="Y21">
        <v>4</v>
      </c>
      <c r="Z21">
        <v>10</v>
      </c>
      <c r="AA21">
        <v>14</v>
      </c>
    </row>
    <row r="22" spans="17:30" x14ac:dyDescent="0.2">
      <c r="Q22" s="3" t="s">
        <v>10</v>
      </c>
      <c r="R22">
        <v>4</v>
      </c>
      <c r="S22">
        <v>1</v>
      </c>
      <c r="T22">
        <v>5</v>
      </c>
      <c r="X22" s="3" t="s">
        <v>10</v>
      </c>
      <c r="Y22">
        <v>13</v>
      </c>
      <c r="Z22">
        <v>5</v>
      </c>
      <c r="AA22">
        <v>18</v>
      </c>
    </row>
    <row r="23" spans="17:30" x14ac:dyDescent="0.2">
      <c r="Q23" s="3" t="s">
        <v>12</v>
      </c>
      <c r="R23">
        <v>1</v>
      </c>
      <c r="S23">
        <v>2</v>
      </c>
      <c r="T23">
        <v>3</v>
      </c>
      <c r="X23" s="3" t="s">
        <v>12</v>
      </c>
      <c r="Y23">
        <v>7</v>
      </c>
      <c r="Z23">
        <v>6</v>
      </c>
      <c r="AA23">
        <v>13</v>
      </c>
    </row>
    <row r="24" spans="17:30" x14ac:dyDescent="0.2">
      <c r="Q24" s="3" t="s">
        <v>35</v>
      </c>
      <c r="R24">
        <v>2</v>
      </c>
      <c r="S24">
        <v>2</v>
      </c>
      <c r="T24">
        <v>4</v>
      </c>
      <c r="X24" s="3" t="s">
        <v>35</v>
      </c>
      <c r="Y24">
        <v>2</v>
      </c>
      <c r="Z24">
        <v>10</v>
      </c>
      <c r="AA24">
        <v>12</v>
      </c>
    </row>
    <row r="25" spans="17:30" x14ac:dyDescent="0.2">
      <c r="Q25" s="3" t="s">
        <v>32</v>
      </c>
      <c r="R25">
        <v>2</v>
      </c>
      <c r="S25">
        <v>1</v>
      </c>
      <c r="T25">
        <v>3</v>
      </c>
      <c r="X25" s="3" t="s">
        <v>32</v>
      </c>
      <c r="Y25">
        <v>12</v>
      </c>
      <c r="Z25">
        <v>1</v>
      </c>
      <c r="AA25">
        <v>13</v>
      </c>
    </row>
    <row r="26" spans="17:30" x14ac:dyDescent="0.2">
      <c r="Q26" s="3" t="s">
        <v>25</v>
      </c>
      <c r="R26">
        <v>2</v>
      </c>
      <c r="S26">
        <v>1</v>
      </c>
      <c r="T26">
        <v>3</v>
      </c>
      <c r="X26" s="3" t="s">
        <v>25</v>
      </c>
      <c r="Y26">
        <v>5</v>
      </c>
      <c r="Z26">
        <v>6</v>
      </c>
      <c r="AA26">
        <v>11</v>
      </c>
    </row>
    <row r="27" spans="17:30" x14ac:dyDescent="0.2">
      <c r="Q27" s="3" t="s">
        <v>22</v>
      </c>
      <c r="R27">
        <v>2</v>
      </c>
      <c r="S27">
        <v>2</v>
      </c>
      <c r="T27">
        <v>4</v>
      </c>
      <c r="X27" s="3" t="s">
        <v>22</v>
      </c>
      <c r="Y27">
        <v>5</v>
      </c>
      <c r="Z27">
        <v>5</v>
      </c>
      <c r="AA27">
        <v>10</v>
      </c>
    </row>
    <row r="28" spans="17:30" x14ac:dyDescent="0.2">
      <c r="Q28" s="3" t="s">
        <v>8</v>
      </c>
      <c r="R28">
        <v>5</v>
      </c>
      <c r="T28">
        <v>5</v>
      </c>
      <c r="X28" s="3" t="s">
        <v>8</v>
      </c>
      <c r="Y28">
        <v>30</v>
      </c>
      <c r="AA28">
        <v>30</v>
      </c>
    </row>
    <row r="29" spans="17:30" x14ac:dyDescent="0.2">
      <c r="Q29" s="3" t="s">
        <v>19</v>
      </c>
      <c r="R29">
        <v>3</v>
      </c>
      <c r="S29">
        <v>4</v>
      </c>
      <c r="T29">
        <v>7</v>
      </c>
      <c r="X29" s="3" t="s">
        <v>19</v>
      </c>
      <c r="Y29">
        <v>7</v>
      </c>
      <c r="Z29">
        <v>9</v>
      </c>
      <c r="AA29">
        <v>16</v>
      </c>
    </row>
    <row r="30" spans="17:30" x14ac:dyDescent="0.2">
      <c r="Q30" s="3" t="s">
        <v>39</v>
      </c>
      <c r="R30">
        <v>61</v>
      </c>
      <c r="S30">
        <v>36</v>
      </c>
      <c r="T30">
        <v>97</v>
      </c>
      <c r="X30" s="3" t="s">
        <v>39</v>
      </c>
      <c r="Y30">
        <v>204</v>
      </c>
      <c r="Z30">
        <v>125</v>
      </c>
      <c r="AA30">
        <v>329</v>
      </c>
    </row>
  </sheetData>
  <mergeCells count="4">
    <mergeCell ref="A1:F1"/>
    <mergeCell ref="I1:N1"/>
    <mergeCell ref="Q1:T1"/>
    <mergeCell ref="X1:AA1"/>
  </mergeCells>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CEE3E-5384-C044-9B81-0086432F95DA}">
  <dimension ref="A1:AE32"/>
  <sheetViews>
    <sheetView topLeftCell="D1" workbookViewId="0">
      <selection activeCell="H6" sqref="H6"/>
    </sheetView>
  </sheetViews>
  <sheetFormatPr baseColWidth="10" defaultRowHeight="16" x14ac:dyDescent="0.2"/>
  <cols>
    <col min="1" max="1" width="13" bestFit="1" customWidth="1"/>
    <col min="2" max="2" width="14.1640625" bestFit="1" customWidth="1"/>
    <col min="3" max="3" width="12.1640625" bestFit="1" customWidth="1"/>
    <col min="4" max="4" width="17" bestFit="1" customWidth="1"/>
    <col min="5" max="5" width="21.83203125" bestFit="1" customWidth="1"/>
    <col min="6" max="6" width="18.83203125" bestFit="1" customWidth="1"/>
    <col min="8" max="8" width="14.1640625" bestFit="1" customWidth="1"/>
    <col min="9" max="9" width="15.5" bestFit="1" customWidth="1"/>
    <col min="10" max="11" width="10.83203125" bestFit="1" customWidth="1"/>
    <col min="12" max="12" width="14.83203125" bestFit="1" customWidth="1"/>
    <col min="13" max="13" width="17" bestFit="1" customWidth="1"/>
    <col min="16" max="16" width="21.6640625" bestFit="1" customWidth="1"/>
    <col min="17" max="17" width="15.5" bestFit="1" customWidth="1"/>
    <col min="18" max="18" width="9.1640625" bestFit="1" customWidth="1"/>
    <col min="19" max="19" width="10.83203125" bestFit="1" customWidth="1"/>
    <col min="20" max="20" width="14.6640625" bestFit="1" customWidth="1"/>
    <col min="23" max="23" width="19" bestFit="1" customWidth="1"/>
    <col min="24" max="24" width="15.5" bestFit="1" customWidth="1"/>
    <col min="25" max="25" width="17.1640625" customWidth="1"/>
    <col min="26" max="27" width="12.1640625" bestFit="1" customWidth="1"/>
    <col min="29" max="29" width="17.33203125" bestFit="1" customWidth="1"/>
  </cols>
  <sheetData>
    <row r="1" spans="1:31" x14ac:dyDescent="0.2">
      <c r="A1" s="27" t="s">
        <v>69</v>
      </c>
      <c r="B1" s="27"/>
      <c r="C1" s="27"/>
      <c r="D1" s="27"/>
      <c r="E1" s="27"/>
      <c r="H1" s="27" t="s">
        <v>71</v>
      </c>
      <c r="I1" s="27"/>
      <c r="J1" s="27"/>
      <c r="K1" s="27"/>
      <c r="L1" s="27"/>
      <c r="M1" s="27"/>
      <c r="P1" s="27" t="s">
        <v>72</v>
      </c>
      <c r="Q1" s="27"/>
      <c r="R1" s="27"/>
      <c r="S1" s="27"/>
      <c r="T1" s="27"/>
    </row>
    <row r="2" spans="1:31" x14ac:dyDescent="0.2">
      <c r="AC2" s="11" t="s">
        <v>85</v>
      </c>
      <c r="AD2" s="11" t="s">
        <v>76</v>
      </c>
      <c r="AE2" s="11" t="s">
        <v>77</v>
      </c>
    </row>
    <row r="3" spans="1:31" x14ac:dyDescent="0.2">
      <c r="A3" s="2" t="s">
        <v>38</v>
      </c>
      <c r="B3" t="s">
        <v>65</v>
      </c>
      <c r="C3" s="7" t="s">
        <v>66</v>
      </c>
      <c r="D3" s="7" t="s">
        <v>67</v>
      </c>
      <c r="E3" s="7" t="s">
        <v>68</v>
      </c>
      <c r="F3" s="5" t="s">
        <v>74</v>
      </c>
      <c r="H3" s="2" t="s">
        <v>65</v>
      </c>
      <c r="I3" s="2" t="s">
        <v>42</v>
      </c>
      <c r="L3" s="5"/>
      <c r="P3" s="2" t="s">
        <v>65</v>
      </c>
      <c r="Q3" s="2" t="s">
        <v>42</v>
      </c>
      <c r="W3" s="2" t="s">
        <v>73</v>
      </c>
      <c r="X3" s="2" t="s">
        <v>42</v>
      </c>
      <c r="AC3" t="s">
        <v>19</v>
      </c>
      <c r="AD3">
        <v>5031.67</v>
      </c>
      <c r="AE3">
        <v>6469.29</v>
      </c>
    </row>
    <row r="4" spans="1:31" x14ac:dyDescent="0.2">
      <c r="A4" s="3" t="s">
        <v>43</v>
      </c>
      <c r="B4">
        <v>57237.80999999999</v>
      </c>
      <c r="E4">
        <f>57237.81 / 61</f>
        <v>938.32475409836059</v>
      </c>
      <c r="H4" s="2" t="s">
        <v>38</v>
      </c>
      <c r="I4" t="s">
        <v>43</v>
      </c>
      <c r="J4" t="s">
        <v>44</v>
      </c>
      <c r="K4" t="s">
        <v>39</v>
      </c>
      <c r="L4" s="5" t="s">
        <v>70</v>
      </c>
      <c r="M4" s="5" t="s">
        <v>67</v>
      </c>
      <c r="P4" s="2" t="s">
        <v>38</v>
      </c>
      <c r="Q4" t="s">
        <v>43</v>
      </c>
      <c r="R4" t="s">
        <v>44</v>
      </c>
      <c r="S4" t="s">
        <v>39</v>
      </c>
      <c r="T4" s="5" t="s">
        <v>70</v>
      </c>
      <c r="W4" s="2" t="s">
        <v>38</v>
      </c>
      <c r="X4" t="s">
        <v>43</v>
      </c>
      <c r="Y4" t="s">
        <v>44</v>
      </c>
      <c r="Z4" t="s">
        <v>39</v>
      </c>
      <c r="AC4" t="s">
        <v>35</v>
      </c>
      <c r="AD4">
        <v>1039.0999999999999</v>
      </c>
      <c r="AE4">
        <v>5195.5</v>
      </c>
    </row>
    <row r="5" spans="1:31" x14ac:dyDescent="0.2">
      <c r="A5" s="3" t="s">
        <v>44</v>
      </c>
      <c r="B5">
        <v>42551.470000000008</v>
      </c>
      <c r="C5">
        <f>42551.47-57237.81</f>
        <v>-14686.339999999997</v>
      </c>
      <c r="D5">
        <f>C5/GETPIVOTDATA("revenue",$A$3,"Months",7)*100</f>
        <v>-25.658458980174114</v>
      </c>
      <c r="E5">
        <f>42551.47 / 36</f>
        <v>1181.9852777777778</v>
      </c>
      <c r="F5">
        <f>(1181.985278 - 938.3247541) / 938.3247541 *100</f>
        <v>25.967611195945551</v>
      </c>
      <c r="H5" s="3" t="s">
        <v>9</v>
      </c>
      <c r="I5" s="30">
        <v>3257.14</v>
      </c>
      <c r="J5" s="30">
        <v>701.98</v>
      </c>
      <c r="K5" s="30">
        <v>3959.12</v>
      </c>
      <c r="L5">
        <f>GETPIVOTDATA("revenue",$H$3,"category","Accessories","Months",8)-GETPIVOTDATA("revenue",$H$3,"category","Accessories","Months",7)</f>
        <v>-2555.16</v>
      </c>
      <c r="M5" s="9">
        <f>L5/GETPIVOTDATA("revenue",$H$3,"category","Accessories","Months",7) *100</f>
        <v>-78.44796355084523</v>
      </c>
      <c r="P5" s="3" t="s">
        <v>15</v>
      </c>
      <c r="Q5">
        <v>19694.5</v>
      </c>
      <c r="R5">
        <v>12907.990000000002</v>
      </c>
      <c r="S5">
        <v>32602.489999999998</v>
      </c>
      <c r="T5" s="10">
        <f>GETPIVOTDATA("revenue",$P$3,"category","Computer","Months",8)-GETPIVOTDATA("revenue",$P$3,"category","Computer","Months",7)</f>
        <v>-6786.5099999999984</v>
      </c>
      <c r="W5" s="3" t="s">
        <v>14</v>
      </c>
      <c r="X5">
        <v>146.37</v>
      </c>
      <c r="Z5">
        <v>146.37</v>
      </c>
      <c r="AC5" t="s">
        <v>18</v>
      </c>
      <c r="AD5">
        <v>3379.44</v>
      </c>
      <c r="AE5">
        <v>4224.3</v>
      </c>
    </row>
    <row r="6" spans="1:31" x14ac:dyDescent="0.2">
      <c r="A6" s="3" t="s">
        <v>39</v>
      </c>
      <c r="B6">
        <v>99789.28</v>
      </c>
      <c r="H6" s="3" t="s">
        <v>21</v>
      </c>
      <c r="I6" s="30">
        <v>8096.37</v>
      </c>
      <c r="J6" s="30">
        <v>6943.71</v>
      </c>
      <c r="K6" s="30">
        <v>15040.08</v>
      </c>
      <c r="L6">
        <f>GETPIVOTDATA("revenue",$H$3,"category","Audio","Months",8)-GETPIVOTDATA("revenue",$H$3,"category","Audio","Months",7)</f>
        <v>-1152.6599999999999</v>
      </c>
      <c r="M6" s="9">
        <f>L6/GETPIVOTDATA("revenue",$H$3,"category","Audio","Months",7)*100</f>
        <v>-14.236750543762202</v>
      </c>
      <c r="P6" s="6" t="s">
        <v>14</v>
      </c>
      <c r="Q6">
        <v>1024.5900000000001</v>
      </c>
      <c r="S6">
        <v>1024.5900000000001</v>
      </c>
      <c r="T6">
        <f>GETPIVOTDATA("revenue",$P$3,"product_name","Business Laptop","category","Computer","Months",8)-GETPIVOTDATA("revenue",$P$3,"product_name","Business Laptop","category","Computer","Months",7)</f>
        <v>-1024.5900000000001</v>
      </c>
      <c r="W6" s="3" t="s">
        <v>17</v>
      </c>
      <c r="X6">
        <v>1387.44</v>
      </c>
      <c r="Z6">
        <v>1387.44</v>
      </c>
      <c r="AC6" t="s">
        <v>37</v>
      </c>
      <c r="AD6">
        <v>11800.25</v>
      </c>
      <c r="AE6">
        <v>3304.07</v>
      </c>
    </row>
    <row r="7" spans="1:31" x14ac:dyDescent="0.2">
      <c r="H7" s="3" t="s">
        <v>15</v>
      </c>
      <c r="I7" s="30">
        <v>19694.500000000004</v>
      </c>
      <c r="J7" s="30">
        <v>12907.989999999998</v>
      </c>
      <c r="K7" s="30">
        <v>32602.49</v>
      </c>
      <c r="L7">
        <f>GETPIVOTDATA("revenue",$H$3,"category","Computer","Months",8)-GETPIVOTDATA("revenue",$H$3,"category","Computer","Months",7)</f>
        <v>-6786.5100000000057</v>
      </c>
      <c r="M7" s="9">
        <f>L7/GETPIVOTDATA("revenue",$H$3,"category","Computer","Months",7)*100</f>
        <v>-34.45890984792711</v>
      </c>
      <c r="P7" s="6" t="s">
        <v>17</v>
      </c>
      <c r="Q7">
        <v>6937.2</v>
      </c>
      <c r="S7">
        <v>6937.2</v>
      </c>
      <c r="T7">
        <f>GETPIVOTDATA("revenue",$P$3,"product_name","Desktop Computer","category","Computer","Months",8)-GETPIVOTDATA("revenue",$P$3,"product_name","Desktop Computer","category","Computer","Months",7)</f>
        <v>-6937.2</v>
      </c>
      <c r="W7" s="3" t="s">
        <v>16</v>
      </c>
      <c r="X7">
        <v>1107.2</v>
      </c>
      <c r="Y7">
        <v>1107.2</v>
      </c>
      <c r="Z7">
        <v>1107.2</v>
      </c>
      <c r="AC7" t="s">
        <v>36</v>
      </c>
      <c r="AD7">
        <v>2434.6999999999998</v>
      </c>
      <c r="AE7">
        <v>2921.64</v>
      </c>
    </row>
    <row r="8" spans="1:31" x14ac:dyDescent="0.2">
      <c r="H8" s="3" t="s">
        <v>33</v>
      </c>
      <c r="I8" s="30">
        <v>20800.13</v>
      </c>
      <c r="J8" s="30">
        <v>14303.65</v>
      </c>
      <c r="K8" s="30">
        <v>35103.78</v>
      </c>
      <c r="L8">
        <f>GETPIVOTDATA("revenue",$H$3,"category","Networking","Months",8)-GETPIVOTDATA("revenue",$H$3,"category","Networking","Months",7)</f>
        <v>-6496.4800000000014</v>
      </c>
      <c r="M8" s="9">
        <f>L8/GETPIVOTDATA("revenue",$H$3,"category","Networking","Months",7)*100</f>
        <v>-31.23288171756619</v>
      </c>
      <c r="P8" s="6" t="s">
        <v>16</v>
      </c>
      <c r="Q8">
        <v>3321.6000000000004</v>
      </c>
      <c r="R8">
        <v>2214.4</v>
      </c>
      <c r="S8">
        <v>5536</v>
      </c>
      <c r="T8">
        <f>GETPIVOTDATA("revenue",$P$3,"product_name","Gaming Laptop","category","Computer","Months",8)-GETPIVOTDATA("revenue",$P$3,"product_name","Gaming Laptop","category","Computer","Months",7)</f>
        <v>-1107.2000000000003</v>
      </c>
      <c r="W8" s="3" t="s">
        <v>37</v>
      </c>
      <c r="X8">
        <v>472.01000000000005</v>
      </c>
      <c r="Y8">
        <v>472.01</v>
      </c>
      <c r="Z8">
        <v>472.01000000000005</v>
      </c>
      <c r="AC8" t="s">
        <v>34</v>
      </c>
      <c r="AD8">
        <v>3761.12</v>
      </c>
      <c r="AE8">
        <v>2735.36</v>
      </c>
    </row>
    <row r="9" spans="1:31" x14ac:dyDescent="0.2">
      <c r="H9" s="3" t="s">
        <v>27</v>
      </c>
      <c r="I9" s="30">
        <v>5389.67</v>
      </c>
      <c r="J9" s="30">
        <v>7694.1399999999994</v>
      </c>
      <c r="K9" s="30">
        <v>13083.81</v>
      </c>
      <c r="L9">
        <f>GETPIVOTDATA("revenue",$H$3,"category","Office","Months",8)-GETPIVOTDATA("revenue",$H$3,"category","Office","Months",7)</f>
        <v>2304.4699999999993</v>
      </c>
      <c r="M9" s="9">
        <f>L9/GETPIVOTDATA("revenue",$H$3,"category","Office","Months",7)*100</f>
        <v>42.757163240049934</v>
      </c>
      <c r="P9" s="6" t="s">
        <v>18</v>
      </c>
      <c r="Q9">
        <v>3379.44</v>
      </c>
      <c r="R9">
        <v>4224.3</v>
      </c>
      <c r="S9">
        <v>7603.74</v>
      </c>
      <c r="T9">
        <f>GETPIVOTDATA("revenue",$P$3,"product_name","Mini PC","category","Computer","Months",8)-GETPIVOTDATA("revenue",$P$3,"product_name","Mini PC","category","Computer","Months",7)</f>
        <v>844.86000000000013</v>
      </c>
      <c r="W9" s="3" t="s">
        <v>32</v>
      </c>
      <c r="X9">
        <v>147.08000000000001</v>
      </c>
      <c r="Y9">
        <v>147.08000000000001</v>
      </c>
      <c r="Z9">
        <v>147.08000000000001</v>
      </c>
      <c r="AC9" t="s">
        <v>16</v>
      </c>
      <c r="AD9">
        <v>3321.6</v>
      </c>
      <c r="AE9">
        <v>2214.4</v>
      </c>
    </row>
    <row r="10" spans="1:31" x14ac:dyDescent="0.2">
      <c r="H10" s="3" t="s">
        <v>39</v>
      </c>
      <c r="I10" s="30">
        <v>57237.81</v>
      </c>
      <c r="J10" s="30">
        <v>42551.47</v>
      </c>
      <c r="K10" s="30">
        <v>99789.28</v>
      </c>
      <c r="L10" s="8">
        <f>GETPIVOTDATA("revenue",$H$3,"Months",8)-GETPIVOTDATA("revenue",$H$3,"Months",7)</f>
        <v>-14686.339999999997</v>
      </c>
      <c r="M10" s="8">
        <f>L10/GETPIVOTDATA("revenue",$H$3,"Months",7)*100</f>
        <v>-25.658458980174114</v>
      </c>
      <c r="P10" s="6" t="s">
        <v>19</v>
      </c>
      <c r="Q10">
        <v>5031.67</v>
      </c>
      <c r="R10">
        <v>6469.29</v>
      </c>
      <c r="S10">
        <v>11500.96</v>
      </c>
      <c r="T10">
        <f>GETPIVOTDATA("revenue",$P$3,"product_name","Workstation","category","Computer","Months",8)-GETPIVOTDATA("revenue",$P$3,"product_name","Workstation","category","Computer","Months",7)</f>
        <v>1437.62</v>
      </c>
      <c r="W10" s="3" t="s">
        <v>39</v>
      </c>
      <c r="X10">
        <v>508.69785714285723</v>
      </c>
      <c r="Y10">
        <v>575.42999999999995</v>
      </c>
      <c r="Z10">
        <v>520.47411764705885</v>
      </c>
      <c r="AC10" t="s">
        <v>32</v>
      </c>
      <c r="AD10">
        <v>1764.96</v>
      </c>
      <c r="AE10">
        <v>147.08000000000001</v>
      </c>
    </row>
    <row r="11" spans="1:31" x14ac:dyDescent="0.2">
      <c r="P11" s="3" t="s">
        <v>33</v>
      </c>
      <c r="Q11">
        <v>20800.129999999997</v>
      </c>
      <c r="R11">
        <v>14303.65</v>
      </c>
      <c r="S11">
        <v>35103.78</v>
      </c>
      <c r="T11" s="10">
        <f>GETPIVOTDATA("revenue",$P$3,"category","Networking","Months",8)-GETPIVOTDATA("revenue",$P$3,"category","Networking","Months",7)</f>
        <v>-6496.4799999999977</v>
      </c>
      <c r="AC11" t="s">
        <v>14</v>
      </c>
      <c r="AD11">
        <v>1024.5899999999999</v>
      </c>
      <c r="AE11">
        <v>0</v>
      </c>
    </row>
    <row r="12" spans="1:31" x14ac:dyDescent="0.2">
      <c r="P12" s="6" t="s">
        <v>36</v>
      </c>
      <c r="Q12">
        <v>2434.6999999999998</v>
      </c>
      <c r="R12">
        <v>2921.64</v>
      </c>
      <c r="S12">
        <v>5356.34</v>
      </c>
      <c r="T12">
        <f>GETPIVOTDATA("revenue",$P$3,"product_name","Ethernet Adapter","category","Networking","Months",8)-GETPIVOTDATA("revenue",$P$3,"product_name","Ethernet Adapter","category","Networking","Months",7)</f>
        <v>486.94000000000005</v>
      </c>
      <c r="AC12" t="s">
        <v>17</v>
      </c>
      <c r="AD12">
        <v>6937.2</v>
      </c>
      <c r="AE12">
        <v>0</v>
      </c>
    </row>
    <row r="13" spans="1:31" x14ac:dyDescent="0.2">
      <c r="P13" s="6" t="s">
        <v>37</v>
      </c>
      <c r="Q13">
        <v>11800.25</v>
      </c>
      <c r="R13">
        <v>3304.0699999999997</v>
      </c>
      <c r="S13">
        <v>15104.32</v>
      </c>
      <c r="T13">
        <f>GETPIVOTDATA("revenue",$P$3,"product_name","Mesh Wi-Fi System","category","Networking","Months",8)-GETPIVOTDATA("revenue",$P$3,"product_name","Mesh Wi-Fi System","category","Networking","Months",7)</f>
        <v>-8496.18</v>
      </c>
    </row>
    <row r="14" spans="1:31" x14ac:dyDescent="0.2">
      <c r="P14" s="6" t="s">
        <v>34</v>
      </c>
      <c r="Q14">
        <v>3761.1200000000003</v>
      </c>
      <c r="R14">
        <v>2735.36</v>
      </c>
      <c r="S14">
        <v>6496.4800000000005</v>
      </c>
      <c r="T14">
        <f>GETPIVOTDATA("revenue",$P$3,"product_name","Network Switch","category","Networking","Months",8)-GETPIVOTDATA("revenue",$P$3,"product_name","Network Switch","category","Networking","Months",7)</f>
        <v>-1025.7600000000002</v>
      </c>
    </row>
    <row r="15" spans="1:31" x14ac:dyDescent="0.2">
      <c r="P15" s="6" t="s">
        <v>35</v>
      </c>
      <c r="Q15">
        <v>1039.0999999999999</v>
      </c>
      <c r="R15">
        <v>5195.4999999999991</v>
      </c>
      <c r="S15">
        <v>6234.5999999999985</v>
      </c>
      <c r="T15">
        <f>GETPIVOTDATA("revenue",$P$3,"product_name","Wi-Fi Extender","category","Networking","Months",8)-GETPIVOTDATA("revenue",$P$3,"product_name","Wi-Fi Extender","category","Networking","Months",7)</f>
        <v>4156.3999999999996</v>
      </c>
    </row>
    <row r="16" spans="1:31" x14ac:dyDescent="0.2">
      <c r="P16" s="6" t="s">
        <v>32</v>
      </c>
      <c r="Q16">
        <v>1764.9600000000003</v>
      </c>
      <c r="R16">
        <v>147.08000000000001</v>
      </c>
      <c r="S16">
        <v>1912.0400000000002</v>
      </c>
      <c r="T16">
        <f>GETPIVOTDATA("revenue",$P$3,"product_name","Wi-Fi Router","category","Networking","Months",8)-GETPIVOTDATA("revenue",$P$3,"product_name","Wi-Fi Router","category","Networking","Months",7)</f>
        <v>-1617.8800000000003</v>
      </c>
    </row>
    <row r="17" spans="1:20" x14ac:dyDescent="0.2">
      <c r="P17" s="3" t="s">
        <v>39</v>
      </c>
      <c r="Q17">
        <v>40494.629999999997</v>
      </c>
      <c r="R17">
        <v>27211.640000000003</v>
      </c>
      <c r="S17">
        <v>67706.27</v>
      </c>
      <c r="T17" s="8">
        <f>GETPIVOTDATA("revenue",$P$3,"Months",8)-GETPIVOTDATA("revenue",$P$3,"Months",7)</f>
        <v>-13282.989999999994</v>
      </c>
    </row>
    <row r="29" spans="1:20" x14ac:dyDescent="0.2">
      <c r="A29" s="28" t="s">
        <v>75</v>
      </c>
      <c r="B29" s="28"/>
    </row>
    <row r="30" spans="1:20" x14ac:dyDescent="0.2">
      <c r="A30" s="29" t="s">
        <v>78</v>
      </c>
      <c r="B30" s="29"/>
    </row>
    <row r="31" spans="1:20" x14ac:dyDescent="0.2">
      <c r="A31" s="5" t="s">
        <v>76</v>
      </c>
      <c r="B31" s="5" t="s">
        <v>77</v>
      </c>
    </row>
    <row r="32" spans="1:20" x14ac:dyDescent="0.2">
      <c r="A32">
        <f>57237.81/204</f>
        <v>280.57749999999999</v>
      </c>
      <c r="B32">
        <f>42551.47/125</f>
        <v>340.41176000000002</v>
      </c>
    </row>
  </sheetData>
  <mergeCells count="5">
    <mergeCell ref="A1:E1"/>
    <mergeCell ref="H1:M1"/>
    <mergeCell ref="P1:T1"/>
    <mergeCell ref="A29:B29"/>
    <mergeCell ref="A30:B30"/>
  </mergeCells>
  <pageMargins left="0.7" right="0.7" top="0.75" bottom="0.75" header="0.3" footer="0.3"/>
  <pageSetup orientation="portrait" horizontalDpi="0" verticalDpi="0"/>
  <drawing r:id="rId5"/>
  <tableParts count="1">
    <tablePart r:id="rId6"/>
  </tableParts>
  <extLst>
    <ext xmlns:x14="http://schemas.microsoft.com/office/spreadsheetml/2009/9/main" uri="{A8765BA9-456A-4dab-B4F3-ACF838C121DE}">
      <x14:slicerList>
        <x14:slicer r:id="rId7"/>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32B17-4A98-0F49-B019-AC15CFBC8BCB}">
  <sheetPr>
    <pageSetUpPr fitToPage="1"/>
  </sheetPr>
  <dimension ref="A1:J64"/>
  <sheetViews>
    <sheetView showGridLines="0" tabSelected="1" zoomScale="70" zoomScaleNormal="70" workbookViewId="0">
      <selection activeCell="N26" sqref="N26"/>
    </sheetView>
  </sheetViews>
  <sheetFormatPr baseColWidth="10" defaultRowHeight="16" x14ac:dyDescent="0.2"/>
  <cols>
    <col min="1" max="1" width="28.5" customWidth="1"/>
    <col min="2" max="2" width="15.83203125" customWidth="1"/>
    <col min="3" max="3" width="15" customWidth="1"/>
    <col min="4" max="4" width="12.6640625" customWidth="1"/>
    <col min="10" max="10" width="30.5" customWidth="1"/>
  </cols>
  <sheetData>
    <row r="1" spans="1:10" ht="26" x14ac:dyDescent="0.3">
      <c r="A1" s="24" t="s">
        <v>86</v>
      </c>
      <c r="B1" s="24"/>
      <c r="C1" s="24"/>
      <c r="D1" s="24"/>
      <c r="E1" s="24"/>
      <c r="F1" s="24"/>
      <c r="G1" s="24"/>
      <c r="H1" s="24"/>
      <c r="I1" s="24"/>
      <c r="J1" s="24"/>
    </row>
    <row r="2" spans="1:10" ht="21" customHeight="1" x14ac:dyDescent="0.25">
      <c r="A2" s="25" t="s">
        <v>87</v>
      </c>
      <c r="B2" s="25"/>
      <c r="C2" s="25"/>
      <c r="D2" s="25"/>
      <c r="E2" s="25"/>
      <c r="F2" s="25"/>
      <c r="G2" s="25"/>
      <c r="H2" s="25"/>
      <c r="I2" s="25"/>
      <c r="J2" s="25"/>
    </row>
    <row r="3" spans="1:10" ht="21" customHeight="1" x14ac:dyDescent="0.25">
      <c r="A3" s="25" t="s">
        <v>88</v>
      </c>
      <c r="B3" s="25"/>
      <c r="C3" s="25"/>
      <c r="D3" s="25"/>
      <c r="E3" s="25"/>
      <c r="F3" s="25"/>
      <c r="G3" s="25"/>
      <c r="H3" s="25"/>
      <c r="I3" s="25"/>
      <c r="J3" s="25"/>
    </row>
    <row r="5" spans="1:10" x14ac:dyDescent="0.2">
      <c r="A5" s="11"/>
      <c r="B5" s="11"/>
      <c r="C5" s="11"/>
      <c r="D5" s="11"/>
    </row>
    <row r="6" spans="1:10" s="11" customFormat="1" x14ac:dyDescent="0.2">
      <c r="A6" s="13" t="s">
        <v>93</v>
      </c>
      <c r="B6" s="14" t="s">
        <v>76</v>
      </c>
      <c r="C6" s="14" t="s">
        <v>77</v>
      </c>
      <c r="D6" s="15" t="s">
        <v>45</v>
      </c>
    </row>
    <row r="7" spans="1:10" x14ac:dyDescent="0.2">
      <c r="A7" s="20" t="s">
        <v>89</v>
      </c>
      <c r="B7" s="12">
        <v>57237.81</v>
      </c>
      <c r="C7" s="12">
        <v>42551.47</v>
      </c>
      <c r="D7" s="16">
        <f>(C7-B7)/B7</f>
        <v>-0.25658458980174115</v>
      </c>
    </row>
    <row r="8" spans="1:10" x14ac:dyDescent="0.2">
      <c r="A8" s="20" t="s">
        <v>90</v>
      </c>
      <c r="B8" s="19">
        <v>61</v>
      </c>
      <c r="C8" s="19">
        <v>36</v>
      </c>
      <c r="D8" s="16">
        <f>(C8-B8)/B8</f>
        <v>-0.4098360655737705</v>
      </c>
    </row>
    <row r="9" spans="1:10" x14ac:dyDescent="0.2">
      <c r="A9" s="20" t="s">
        <v>91</v>
      </c>
      <c r="B9" s="19">
        <v>204</v>
      </c>
      <c r="C9" s="19">
        <v>125</v>
      </c>
      <c r="D9" s="16">
        <f>(C9-B9)/B9</f>
        <v>-0.38725490196078433</v>
      </c>
    </row>
    <row r="10" spans="1:10" x14ac:dyDescent="0.2">
      <c r="A10" s="20" t="s">
        <v>94</v>
      </c>
      <c r="B10" s="12">
        <f>B7/B8</f>
        <v>938.32475409836059</v>
      </c>
      <c r="C10" s="12">
        <f>C7/C8</f>
        <v>1181.9852777777778</v>
      </c>
      <c r="D10" s="16">
        <f>(C10-B10)/B10</f>
        <v>0.25967611172482757</v>
      </c>
    </row>
    <row r="11" spans="1:10" x14ac:dyDescent="0.2">
      <c r="A11" s="20" t="s">
        <v>95</v>
      </c>
      <c r="B11" s="12">
        <f>B7/B9</f>
        <v>280.57749999999999</v>
      </c>
      <c r="C11" s="12">
        <f>C7/C9</f>
        <v>340.41176000000002</v>
      </c>
      <c r="D11" s="16">
        <f>(C11-B11)/B11</f>
        <v>0.21325394944355849</v>
      </c>
    </row>
    <row r="12" spans="1:10" x14ac:dyDescent="0.2">
      <c r="A12" s="21" t="s">
        <v>92</v>
      </c>
      <c r="B12" s="17" t="s">
        <v>96</v>
      </c>
      <c r="C12" s="17" t="s">
        <v>96</v>
      </c>
      <c r="D12" s="18">
        <f>(C7-B7)/B7</f>
        <v>-0.25658458980174115</v>
      </c>
    </row>
    <row r="13" spans="1:10" x14ac:dyDescent="0.2">
      <c r="D13" s="4"/>
    </row>
    <row r="14" spans="1:10" x14ac:dyDescent="0.2">
      <c r="D14" s="4"/>
    </row>
    <row r="15" spans="1:10" x14ac:dyDescent="0.2">
      <c r="D15" s="4"/>
    </row>
    <row r="18" spans="1:3" x14ac:dyDescent="0.2">
      <c r="A18" s="12"/>
      <c r="B18" s="12"/>
      <c r="C18" s="4"/>
    </row>
    <row r="22" spans="1:3" x14ac:dyDescent="0.2">
      <c r="C22" s="4"/>
    </row>
    <row r="26" spans="1:3" x14ac:dyDescent="0.2">
      <c r="C26" s="4"/>
    </row>
    <row r="30" spans="1:3" x14ac:dyDescent="0.2">
      <c r="A30" s="12"/>
      <c r="B30" s="12"/>
      <c r="C30" s="4"/>
    </row>
    <row r="34" spans="1:10" x14ac:dyDescent="0.2">
      <c r="A34" s="12"/>
      <c r="B34" s="12"/>
      <c r="C34" s="4"/>
    </row>
    <row r="38" spans="1:10" x14ac:dyDescent="0.2">
      <c r="A38" s="4"/>
    </row>
    <row r="42" spans="1:10" x14ac:dyDescent="0.2">
      <c r="A42" s="33" t="s">
        <v>97</v>
      </c>
    </row>
    <row r="44" spans="1:10" x14ac:dyDescent="0.2">
      <c r="A44" t="s">
        <v>98</v>
      </c>
    </row>
    <row r="45" spans="1:10" x14ac:dyDescent="0.2">
      <c r="A45" s="23" t="s">
        <v>99</v>
      </c>
      <c r="B45" s="23"/>
      <c r="C45" s="23"/>
      <c r="D45" s="23"/>
      <c r="E45" s="23"/>
      <c r="F45" s="23"/>
      <c r="G45" s="23"/>
      <c r="H45" s="23"/>
      <c r="I45" s="23"/>
      <c r="J45" s="23"/>
    </row>
    <row r="47" spans="1:10" x14ac:dyDescent="0.2">
      <c r="A47" t="s">
        <v>100</v>
      </c>
    </row>
    <row r="48" spans="1:10" x14ac:dyDescent="0.2">
      <c r="A48" s="23" t="s">
        <v>101</v>
      </c>
      <c r="B48" s="23"/>
      <c r="C48" s="23"/>
      <c r="D48" s="23"/>
      <c r="E48" s="23"/>
      <c r="F48" s="23"/>
      <c r="G48" s="23"/>
      <c r="H48" s="23"/>
      <c r="I48" s="23"/>
      <c r="J48" s="23"/>
    </row>
    <row r="50" spans="1:10" x14ac:dyDescent="0.2">
      <c r="A50" t="s">
        <v>102</v>
      </c>
    </row>
    <row r="51" spans="1:10" x14ac:dyDescent="0.2">
      <c r="A51" s="23" t="s">
        <v>103</v>
      </c>
      <c r="B51" s="23"/>
      <c r="C51" s="23"/>
      <c r="D51" s="23"/>
      <c r="E51" s="23"/>
      <c r="F51" s="23"/>
      <c r="G51" s="23"/>
      <c r="H51" s="23"/>
      <c r="I51" s="23"/>
      <c r="J51" s="23"/>
    </row>
    <row r="53" spans="1:10" x14ac:dyDescent="0.2">
      <c r="A53" t="s">
        <v>104</v>
      </c>
    </row>
    <row r="54" spans="1:10" x14ac:dyDescent="0.2">
      <c r="A54" s="23" t="s">
        <v>105</v>
      </c>
      <c r="B54" s="23"/>
      <c r="C54" s="23"/>
      <c r="D54" s="23"/>
      <c r="E54" s="23"/>
      <c r="F54" s="23"/>
      <c r="G54" s="23"/>
      <c r="H54" s="23"/>
      <c r="I54" s="23"/>
      <c r="J54" s="23"/>
    </row>
    <row r="57" spans="1:10" x14ac:dyDescent="0.2">
      <c r="A57" s="33" t="s">
        <v>106</v>
      </c>
    </row>
    <row r="58" spans="1:10" s="22" customFormat="1" ht="38" customHeight="1" x14ac:dyDescent="0.2">
      <c r="A58" s="31" t="s">
        <v>107</v>
      </c>
      <c r="B58" s="31"/>
      <c r="C58" s="31"/>
      <c r="D58" s="31"/>
      <c r="E58" s="31"/>
      <c r="F58" s="31"/>
      <c r="G58" s="31"/>
      <c r="H58" s="31"/>
      <c r="I58" s="31"/>
      <c r="J58" s="31"/>
    </row>
    <row r="61" spans="1:10" ht="17" customHeight="1" x14ac:dyDescent="0.2">
      <c r="A61" s="33" t="s">
        <v>108</v>
      </c>
    </row>
    <row r="62" spans="1:10" ht="38" customHeight="1" x14ac:dyDescent="0.2">
      <c r="A62" s="32" t="s">
        <v>109</v>
      </c>
      <c r="B62" s="32"/>
      <c r="C62" s="32"/>
      <c r="D62" s="32"/>
      <c r="E62" s="32"/>
      <c r="F62" s="32"/>
      <c r="G62" s="32"/>
      <c r="H62" s="32"/>
      <c r="I62" s="32"/>
      <c r="J62" s="32"/>
    </row>
    <row r="64" spans="1:10" x14ac:dyDescent="0.2">
      <c r="A64" s="34" t="s">
        <v>110</v>
      </c>
      <c r="B64" s="34"/>
      <c r="C64" s="34"/>
      <c r="D64" s="34"/>
      <c r="E64" s="34"/>
      <c r="F64" s="34"/>
      <c r="G64" s="34"/>
      <c r="H64" s="34"/>
      <c r="I64" s="34"/>
      <c r="J64" s="34"/>
    </row>
  </sheetData>
  <mergeCells count="10">
    <mergeCell ref="A64:J64"/>
    <mergeCell ref="A62:J62"/>
    <mergeCell ref="A45:J45"/>
    <mergeCell ref="A48:J48"/>
    <mergeCell ref="A51:J51"/>
    <mergeCell ref="A54:J54"/>
    <mergeCell ref="A58:J58"/>
    <mergeCell ref="A1:J1"/>
    <mergeCell ref="A2:J2"/>
    <mergeCell ref="A3:J3"/>
  </mergeCells>
  <conditionalFormatting sqref="D7:D12">
    <cfRule type="colorScale" priority="4">
      <colorScale>
        <cfvo type="formula" val="&quot;&lt;0&quot;"/>
        <cfvo type="formula" val="&quot;&gt;0&quot;"/>
        <color theme="5"/>
        <color rgb="FFFFEF9C"/>
      </colorScale>
    </cfRule>
    <cfRule type="colorScale" priority="3">
      <colorScale>
        <cfvo type="percent" val="&quot;&lt;0&quot;"/>
        <cfvo type="percent" val="&quot;&gt;0&quot;"/>
        <color rgb="FFFF7128"/>
        <color rgb="FFFFEF9C"/>
      </colorScale>
    </cfRule>
    <cfRule type="cellIs" dxfId="2" priority="2" operator="lessThan">
      <formula>0</formula>
    </cfRule>
    <cfRule type="cellIs" dxfId="1" priority="1" operator="greaterThan">
      <formula>0</formula>
    </cfRule>
  </conditionalFormatting>
  <pageMargins left="0.25" right="0.25" top="0.75" bottom="0.75" header="0.3" footer="0.3"/>
  <pageSetup scale="48" orientation="landscape" horizontalDpi="0" verticalDpi="0"/>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1A69A9-0DF1-474C-92DE-A46BC061F1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ProductsTable</vt:lpstr>
      <vt:lpstr>SalesTable_Clean</vt:lpstr>
      <vt:lpstr>Sales_Data</vt:lpstr>
      <vt:lpstr>Products_Data</vt:lpstr>
      <vt:lpstr>Inventory_Data</vt:lpstr>
      <vt:lpstr>Total Transactions</vt:lpstr>
      <vt:lpstr>Category_level_change</vt:lpstr>
      <vt:lpstr>Inventory_PivotTable</vt:lpstr>
      <vt:lpstr>Sales Data Pivot Table</vt:lpstr>
      <vt:lpstr>Revenue Analysis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Ujjwal Poudel</cp:lastModifiedBy>
  <cp:lastPrinted>2026-09-20T01:24:17Z</cp:lastPrinted>
  <dcterms:created xsi:type="dcterms:W3CDTF">2026-09-02T00:55:09Z</dcterms:created>
  <dcterms:modified xsi:type="dcterms:W3CDTF">2026-09-20T01:46:44Z</dcterms:modified>
</cp:coreProperties>
</file>